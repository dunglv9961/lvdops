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20" yWindow="405" windowWidth="18075" windowHeight="7425" activeTab="1"/>
  </bookViews>
  <sheets>
    <sheet name="대상리스트" sheetId="1" r:id="rId1"/>
    <sheet name="HP-S2O" sheetId="3" r:id="rId2"/>
    <sheet name="SOL-S2O" sheetId="5" r:id="rId3"/>
    <sheet name="IBM-S2O" sheetId="6" r:id="rId4"/>
    <sheet name="Sheet1" sheetId="7" r:id="rId5"/>
  </sheets>
  <calcPr calcId="124519"/>
</workbook>
</file>

<file path=xl/calcChain.xml><?xml version="1.0" encoding="utf-8"?>
<calcChain xmlns="http://schemas.openxmlformats.org/spreadsheetml/2006/main">
  <c r="G5" i="3"/>
  <c r="G8"/>
  <c r="G9"/>
  <c r="G10"/>
  <c r="G12"/>
  <c r="G13"/>
  <c r="G16"/>
  <c r="G17"/>
  <c r="G18"/>
  <c r="G20"/>
  <c r="G21"/>
  <c r="G24"/>
  <c r="G25"/>
  <c r="G26"/>
  <c r="G28"/>
  <c r="G29"/>
  <c r="G32"/>
  <c r="G33"/>
  <c r="G34"/>
  <c r="G4"/>
  <c r="G35" l="1"/>
  <c r="G27"/>
  <c r="G19"/>
  <c r="G11"/>
  <c r="G31"/>
  <c r="G23"/>
  <c r="G15"/>
  <c r="G7"/>
  <c r="G30"/>
  <c r="G22"/>
  <c r="G14"/>
  <c r="G6"/>
  <c r="G21" i="6"/>
  <c r="G5" i="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4"/>
  <c r="H4"/>
  <c r="G5" i="6"/>
  <c r="G6"/>
  <c r="G7"/>
  <c r="G8"/>
  <c r="G9"/>
  <c r="G10"/>
  <c r="G11"/>
  <c r="G12"/>
  <c r="G13"/>
  <c r="G14"/>
  <c r="G15"/>
  <c r="G16"/>
  <c r="G17"/>
  <c r="G18"/>
  <c r="G19"/>
  <c r="G20"/>
  <c r="G4"/>
</calcChain>
</file>

<file path=xl/comments1.xml><?xml version="1.0" encoding="utf-8"?>
<comments xmlns="http://schemas.openxmlformats.org/spreadsheetml/2006/main">
  <authors>
    <author>이남철</author>
  </authors>
  <commentList>
    <comment ref="G3" authorId="0">
      <text>
        <r>
          <rPr>
            <b/>
            <sz val="9"/>
            <color indexed="81"/>
            <rFont val="돋움"/>
            <family val="3"/>
            <charset val="129"/>
          </rPr>
          <t>이남철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샘플로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s2o </t>
        </r>
        <r>
          <rPr>
            <sz val="9"/>
            <color indexed="81"/>
            <rFont val="돋움"/>
            <family val="3"/>
            <charset val="129"/>
          </rPr>
          <t>콘솔에서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우선순위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자동정렬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이용하여
정렬한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하세요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>
  <authors>
    <author>이남철</author>
  </authors>
  <commentList>
    <comment ref="G3" authorId="0">
      <text>
        <r>
          <rPr>
            <b/>
            <sz val="9"/>
            <color indexed="81"/>
            <rFont val="돋움"/>
            <family val="3"/>
            <charset val="129"/>
          </rPr>
          <t>이남철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샘플로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s2o </t>
        </r>
        <r>
          <rPr>
            <sz val="9"/>
            <color indexed="81"/>
            <rFont val="돋움"/>
            <family val="3"/>
            <charset val="129"/>
          </rPr>
          <t>콘솔에서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우선순위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자동정렬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이용하여
정렬한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하세요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<sst xmlns="http://schemas.openxmlformats.org/spreadsheetml/2006/main" count="622" uniqueCount="206">
  <si>
    <t>OS</t>
    <phoneticPr fontId="1" type="noConversion"/>
  </si>
  <si>
    <t>SW</t>
    <phoneticPr fontId="1" type="noConversion"/>
  </si>
  <si>
    <t>DBMS</t>
    <phoneticPr fontId="1" type="noConversion"/>
  </si>
  <si>
    <t>Oracle</t>
    <phoneticPr fontId="1" type="noConversion"/>
  </si>
  <si>
    <t>RAC</t>
    <phoneticPr fontId="1" type="noConversion"/>
  </si>
  <si>
    <t>HP-UX</t>
    <phoneticPr fontId="1" type="noConversion"/>
  </si>
  <si>
    <t>/var/adm/syslog/</t>
    <phoneticPr fontId="1" type="noConversion"/>
  </si>
  <si>
    <t>syslog.log</t>
    <phoneticPr fontId="1" type="noConversion"/>
  </si>
  <si>
    <t>AIX</t>
    <phoneticPr fontId="1" type="noConversion"/>
  </si>
  <si>
    <t>SOLARIS</t>
    <phoneticPr fontId="1" type="noConversion"/>
  </si>
  <si>
    <t>WINDOWS</t>
    <phoneticPr fontId="1" type="noConversion"/>
  </si>
  <si>
    <t>MC/SG</t>
    <phoneticPr fontId="1" type="noConversion"/>
  </si>
  <si>
    <t>/etc/cmcluster/</t>
    <phoneticPr fontId="1" type="noConversion"/>
  </si>
  <si>
    <t>xxx.log</t>
    <phoneticPr fontId="1" type="noConversion"/>
  </si>
  <si>
    <t>VCS</t>
    <phoneticPr fontId="1" type="noConversion"/>
  </si>
  <si>
    <t>HACMP</t>
    <phoneticPr fontId="1" type="noConversion"/>
  </si>
  <si>
    <t>Netbackup</t>
    <phoneticPr fontId="1" type="noConversion"/>
  </si>
  <si>
    <t>BCV</t>
    <phoneticPr fontId="1" type="noConversion"/>
  </si>
  <si>
    <t>설정에 따라 다름</t>
    <phoneticPr fontId="1" type="noConversion"/>
  </si>
  <si>
    <t>$ORACLE_HOME/crs/</t>
    <phoneticPr fontId="1" type="noConversion"/>
  </si>
  <si>
    <t>N</t>
  </si>
  <si>
    <t>Going down on signal 15</t>
  </si>
  <si>
    <t>Not enough space</t>
  </si>
  <si>
    <t>VCS ERROR</t>
  </si>
  <si>
    <t>critic</t>
  </si>
  <si>
    <t>dead</t>
  </si>
  <si>
    <t>disabled path</t>
  </si>
  <si>
    <t>error</t>
  </si>
  <si>
    <t>failed</t>
  </si>
  <si>
    <t>failure</t>
  </si>
  <si>
    <t>going down on signal 15</t>
  </si>
  <si>
    <t>in the cluster to crash</t>
  </si>
  <si>
    <t>is down</t>
  </si>
  <si>
    <t>msgcnt</t>
  </si>
  <si>
    <t>offline</t>
  </si>
  <si>
    <t>query failed</t>
  </si>
  <si>
    <t>swap reservation failure</t>
  </si>
  <si>
    <t>syslog: su :</t>
  </si>
  <si>
    <t>Y</t>
  </si>
  <si>
    <t>Broken pipe</t>
  </si>
  <si>
    <t>FTP LOGIN</t>
  </si>
  <si>
    <t>FTP session closed</t>
  </si>
  <si>
    <t>Failed password for</t>
  </si>
  <si>
    <t>alter tablespace TEMP begin backup</t>
  </si>
  <si>
    <t>failed login</t>
  </si>
  <si>
    <t>ftpd[</t>
  </si>
  <si>
    <t>pam_authenticate: Authentication failed</t>
  </si>
  <si>
    <t>rlogind</t>
  </si>
  <si>
    <t>NOTCHECK</t>
    <phoneticPr fontId="1" type="noConversion"/>
  </si>
  <si>
    <t>PATTERN</t>
    <phoneticPr fontId="1" type="noConversion"/>
  </si>
  <si>
    <t>/dev/???</t>
  </si>
  <si>
    <t>/pci@9,600000/fibre-channel@1/sd@0,0 (sd15):</t>
  </si>
  <si>
    <t>AFSR</t>
  </si>
  <si>
    <t>AFT</t>
  </si>
  <si>
    <t>Abnormal</t>
  </si>
  <si>
    <t>CE Error</t>
  </si>
  <si>
    <t>Command</t>
  </si>
  <si>
    <t>Corrected</t>
  </si>
  <si>
    <t>Disk_Check</t>
  </si>
  <si>
    <t>Disk_Error</t>
  </si>
  <si>
    <t>ECC Error</t>
  </si>
  <si>
    <t>ECC Memory Error</t>
  </si>
  <si>
    <t>Error for command</t>
  </si>
  <si>
    <t>Error level</t>
  </si>
  <si>
    <t>Error reading from connection</t>
  </si>
  <si>
    <t>FATAL</t>
  </si>
  <si>
    <t>Fatal</t>
  </si>
  <si>
    <t>File system full</t>
  </si>
  <si>
    <t>Get Su:</t>
  </si>
  <si>
    <t>IT.dev</t>
  </si>
  <si>
    <t>Insufficient memory</t>
  </si>
  <si>
    <t>Intermittent</t>
  </si>
  <si>
    <t>NOTICE:alloc:</t>
  </si>
  <si>
    <t>Periodic head cleaning required</t>
  </si>
  <si>
    <t>Persistent</t>
  </si>
  <si>
    <t>Please,replace the tape cartridge</t>
  </si>
  <si>
    <t>REPEATED LOGIN FAILURES</t>
  </si>
  <si>
    <t>REPLACING</t>
  </si>
  <si>
    <t>Requested Block</t>
  </si>
  <si>
    <t>Retryable</t>
  </si>
  <si>
    <t>SCSI transport</t>
  </si>
  <si>
    <t>SCSI transport failed: reason 'tran_err': giving up</t>
  </si>
  <si>
    <t>SYN flood attact</t>
  </si>
  <si>
    <t>Sense Key</t>
  </si>
  <si>
    <t>Soft error rate</t>
  </si>
  <si>
    <t>Sticky</t>
  </si>
  <si>
    <t>WARNING</t>
  </si>
  <si>
    <t>degrees celsius at location</t>
  </si>
  <si>
    <t>fatal</t>
  </si>
  <si>
    <t>file system full</t>
  </si>
  <si>
    <t>halted by</t>
  </si>
  <si>
    <t>hotspared device</t>
  </si>
  <si>
    <t>kernel:</t>
  </si>
  <si>
    <t>licence lost</t>
  </si>
  <si>
    <t>log file open error</t>
  </si>
  <si>
    <t>memory error</t>
  </si>
  <si>
    <t>needs maintenance</t>
  </si>
  <si>
    <t>no swap space</t>
  </si>
  <si>
    <t>notice</t>
  </si>
  <si>
    <t>out of memory</t>
  </si>
  <si>
    <t>out of per-user processes</t>
  </si>
  <si>
    <t>panic</t>
  </si>
  <si>
    <t>requeue of command fails</t>
  </si>
  <si>
    <t>responding</t>
  </si>
  <si>
    <t>root on /dev/???</t>
  </si>
  <si>
    <t>sshd:</t>
  </si>
  <si>
    <t>su:</t>
  </si>
  <si>
    <t>succeeded for root</t>
  </si>
  <si>
    <t>succeeded for root on /dev/???</t>
  </si>
  <si>
    <t>temperature</t>
  </si>
  <si>
    <t>trying to be our address</t>
  </si>
  <si>
    <t>unavailable</t>
  </si>
  <si>
    <t>vmunix: /usr: write failed, file system is full</t>
  </si>
  <si>
    <t>vx_nospace</t>
  </si>
  <si>
    <t>was corrected</t>
  </si>
  <si>
    <t>write error on</t>
  </si>
  <si>
    <t>write failed, file system is full</t>
  </si>
  <si>
    <t>/dev/tty??</t>
  </si>
  <si>
    <t>Login timed out</t>
  </si>
  <si>
    <t>auth|security:err|error tsm: /dev/pts/0: Login timed out after 60 seconds</t>
  </si>
  <si>
    <t>unix: Error</t>
  </si>
  <si>
    <t>주의:</t>
  </si>
  <si>
    <t>/* Formatted on 2013-05-23 오전 10:35:48 (QP5 v5.227.12220.39724) */</t>
  </si>
  <si>
    <t>SELECT NOTCHECK,SUBSTR(msgcode,1,1),PATTERN,count(*) FROM (</t>
  </si>
  <si>
    <t xml:space="preserve">  SELECT DECODE (notcheck, '', '-', notcheck) AS notcheck,</t>
  </si>
  <si>
    <t xml:space="preserve">         DECODE (msgcode, '', '-', msgcode) AS msgcode,</t>
  </si>
  <si>
    <t xml:space="preserve">         DECODE (pattern, '', '-', pattern) AS pattern,</t>
  </si>
  <si>
    <t xml:space="preserve">         DECODE (uppercheck, '', '-', uppercheck) AS uppercheck,</t>
  </si>
  <si>
    <t xml:space="preserve">         DECODE (loginid, '', '-', loginid) AS loginid,</t>
  </si>
  <si>
    <t xml:space="preserve">         DECODE (accessip, '', '-', accessip) AS accessip,</t>
  </si>
  <si>
    <t xml:space="preserve">         DECODE (name, '', '-', name) AS name,</t>
  </si>
  <si>
    <t xml:space="preserve">         DECODE (c.hostname, '', '-', c.hostname) AS hostname,</t>
  </si>
  <si>
    <t xml:space="preserve">         DECODE (c.item_id, '', '-', c.item_id) AS hostcode</t>
  </si>
  <si>
    <t xml:space="preserve">    FROM monitor_syslog a, cu_user b, ci_item_server c</t>
  </si>
  <si>
    <t xml:space="preserve">   WHERE     a.co_code(+) = 'LPL'</t>
  </si>
  <si>
    <t xml:space="preserve">         AND didate IS NULL</t>
  </si>
  <si>
    <t xml:space="preserve">         AND a.co_code(+) = c.co_code</t>
  </si>
  <si>
    <t xml:space="preserve">         AND a.hostname(+) = c.hostname</t>
  </si>
  <si>
    <t xml:space="preserve">         AND a.loginid = b.userid(+)</t>
  </si>
  <si>
    <t xml:space="preserve">         AND c.item_id IN (12342,9101,9103,9864,9865,11680)</t>
  </si>
  <si>
    <t>ORDER BY hostname</t>
  </si>
  <si>
    <t>) group by notcheck, SUBSTR(msgcode,1,1), pattern</t>
  </si>
  <si>
    <t>order by pattern, SUBSTR(msgcode,1,1), notcheck;</t>
  </si>
  <si>
    <t>select item_id from ci_item_server where hostname IN ('LGDAESP2','LGDAESP1','LGDARMU2','LGDARMU1','LGDDUMP1','LGDADEP1');</t>
  </si>
  <si>
    <t>Y</t>
    <phoneticPr fontId="1" type="noConversion"/>
  </si>
  <si>
    <t>GAB WARNING</t>
  </si>
  <si>
    <t>ADAPTER ERROR</t>
  </si>
  <si>
    <t>ETHERNET DOWN</t>
  </si>
  <si>
    <t>MSG Code</t>
    <phoneticPr fontId="1" type="noConversion"/>
  </si>
  <si>
    <t>파일생성</t>
    <phoneticPr fontId="1" type="noConversion"/>
  </si>
  <si>
    <t>WSYS</t>
  </si>
  <si>
    <t>CSYS</t>
  </si>
  <si>
    <t>ISYS</t>
  </si>
  <si>
    <t>NOTCHECK</t>
    <phoneticPr fontId="1" type="noConversion"/>
  </si>
  <si>
    <t>MSG Grade</t>
    <phoneticPr fontId="1" type="noConversion"/>
  </si>
  <si>
    <t>MSG Code</t>
    <phoneticPr fontId="1" type="noConversion"/>
  </si>
  <si>
    <t>PATTERN</t>
    <phoneticPr fontId="1" type="noConversion"/>
  </si>
  <si>
    <t>대소문자구분안함</t>
    <phoneticPr fontId="1" type="noConversion"/>
  </si>
  <si>
    <t>파일생성</t>
    <phoneticPr fontId="1" type="noConversion"/>
  </si>
  <si>
    <t>WSYS</t>
    <phoneticPr fontId="1" type="noConversion"/>
  </si>
  <si>
    <t>Y</t>
    <phoneticPr fontId="1" type="noConversion"/>
  </si>
  <si>
    <t>CSYS</t>
    <phoneticPr fontId="1" type="noConversion"/>
  </si>
  <si>
    <t>Y</t>
    <phoneticPr fontId="1" type="noConversion"/>
  </si>
  <si>
    <t>CSYS</t>
    <phoneticPr fontId="1" type="noConversion"/>
  </si>
  <si>
    <t>WSYS</t>
    <phoneticPr fontId="1" type="noConversion"/>
  </si>
  <si>
    <t>N</t>
    <phoneticPr fontId="1" type="noConversion"/>
  </si>
  <si>
    <t>undetermined</t>
    <phoneticPr fontId="1" type="noConversion"/>
  </si>
  <si>
    <t>I/O ERROR DETECTED</t>
    <phoneticPr fontId="1" type="noConversion"/>
  </si>
  <si>
    <t>UNABLE TO ALLOCATE SPACE</t>
    <phoneticPr fontId="1" type="noConversion"/>
  </si>
  <si>
    <t>PANIC</t>
    <phoneticPr fontId="1" type="noConversion"/>
  </si>
  <si>
    <t>Dead Man Switch</t>
    <phoneticPr fontId="1" type="noConversion"/>
  </si>
  <si>
    <t>SYSVMM</t>
    <phoneticPr fontId="1" type="noConversion"/>
  </si>
  <si>
    <t>user:err|error</t>
    <phoneticPr fontId="1" type="noConversion"/>
  </si>
  <si>
    <t>MSG Grade</t>
    <phoneticPr fontId="1" type="noConversion"/>
  </si>
  <si>
    <t>대소문자구분안함</t>
    <phoneticPr fontId="1" type="noConversion"/>
  </si>
  <si>
    <t>Y</t>
    <phoneticPr fontId="1" type="noConversion"/>
  </si>
  <si>
    <t>disappear</t>
    <phoneticPr fontId="1" type="noConversion"/>
  </si>
  <si>
    <t>Link down</t>
    <phoneticPr fontId="1" type="noConversion"/>
  </si>
  <si>
    <t>fsck</t>
    <phoneticPr fontId="1" type="noConversion"/>
  </si>
  <si>
    <t>N</t>
    <phoneticPr fontId="1" type="noConversion"/>
  </si>
  <si>
    <t>Y</t>
    <phoneticPr fontId="1" type="noConversion"/>
  </si>
  <si>
    <t>N</t>
    <phoneticPr fontId="1" type="noConversion"/>
  </si>
  <si>
    <t>not activate</t>
    <phoneticPr fontId="1" type="noConversion"/>
  </si>
  <si>
    <t>have died</t>
    <phoneticPr fontId="1" type="noConversion"/>
  </si>
  <si>
    <t>timer_loop</t>
    <phoneticPr fontId="1" type="noConversion"/>
  </si>
  <si>
    <t>degrade</t>
    <phoneticPr fontId="1" type="noConversion"/>
  </si>
  <si>
    <t>No such</t>
    <phoneticPr fontId="1" type="noConversion"/>
  </si>
  <si>
    <t>구분</t>
    <phoneticPr fontId="1" type="noConversion"/>
  </si>
  <si>
    <t>프로그램명</t>
    <phoneticPr fontId="1" type="noConversion"/>
  </si>
  <si>
    <t>로그파일경로</t>
    <phoneticPr fontId="1" type="noConversion"/>
  </si>
  <si>
    <t>로그파일 위치</t>
    <phoneticPr fontId="1" type="noConversion"/>
  </si>
  <si>
    <t>N</t>
    <phoneticPr fontId="1" type="noConversion"/>
  </si>
  <si>
    <t>dead</t>
    <phoneticPr fontId="1" type="noConversion"/>
  </si>
  <si>
    <t>Authentication failed</t>
    <phoneticPr fontId="1" type="noConversion"/>
  </si>
  <si>
    <t>EMS</t>
    <phoneticPr fontId="1" type="noConversion"/>
  </si>
  <si>
    <t>IBM MQ</t>
    <phoneticPr fontId="1" type="noConversion"/>
  </si>
  <si>
    <t>VCS</t>
    <phoneticPr fontId="1" type="noConversion"/>
  </si>
  <si>
    <t>EMC Powerpath</t>
    <phoneticPr fontId="1" type="noConversion"/>
  </si>
  <si>
    <t>MC/SG</t>
    <phoneticPr fontId="1" type="noConversion"/>
  </si>
  <si>
    <t>detache</t>
    <phoneticPr fontId="1" type="noConversion"/>
  </si>
  <si>
    <t>CIM Indication</t>
    <phoneticPr fontId="1" type="noConversion"/>
  </si>
  <si>
    <t>HP-UX 11.31</t>
    <phoneticPr fontId="1" type="noConversion"/>
  </si>
  <si>
    <t># sfmconfig -w -q
SysFaultMgmt is the default monitoring mode.
Note: EMS hardware monitors(OnlineDiag) are not supported on this platform.</t>
    <phoneticPr fontId="1" type="noConversion"/>
  </si>
  <si>
    <t>CSYS</t>
    <phoneticPr fontId="1" type="noConversion"/>
  </si>
  <si>
    <t>N</t>
    <phoneticPr fontId="1" type="noConversion"/>
  </si>
  <si>
    <t>MQSeries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</si>
</sst>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8" fillId="3" borderId="1" xfId="0" applyFont="1" applyFill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G14"/>
  <sheetViews>
    <sheetView workbookViewId="0">
      <selection activeCell="E9" sqref="E9"/>
    </sheetView>
  </sheetViews>
  <sheetFormatPr defaultRowHeight="16.5"/>
  <cols>
    <col min="3" max="3" width="19.25" customWidth="1"/>
    <col min="4" max="6" width="22.875" customWidth="1"/>
  </cols>
  <sheetData>
    <row r="3" spans="2:7">
      <c r="B3" s="11"/>
      <c r="C3" s="11" t="s">
        <v>187</v>
      </c>
      <c r="D3" s="11" t="s">
        <v>188</v>
      </c>
      <c r="E3" s="11" t="s">
        <v>189</v>
      </c>
      <c r="F3" s="11" t="s">
        <v>190</v>
      </c>
    </row>
    <row r="4" spans="2:7">
      <c r="B4" s="3">
        <v>1</v>
      </c>
      <c r="C4" s="17" t="s">
        <v>0</v>
      </c>
      <c r="D4" s="1" t="s">
        <v>5</v>
      </c>
      <c r="E4" s="1" t="s">
        <v>6</v>
      </c>
      <c r="F4" s="1" t="s">
        <v>7</v>
      </c>
      <c r="G4" s="2"/>
    </row>
    <row r="5" spans="2:7">
      <c r="B5" s="3">
        <v>2</v>
      </c>
      <c r="C5" s="18"/>
      <c r="D5" s="1" t="s">
        <v>8</v>
      </c>
      <c r="E5" s="1"/>
      <c r="F5" s="1"/>
    </row>
    <row r="6" spans="2:7">
      <c r="B6" s="3">
        <v>3</v>
      </c>
      <c r="C6" s="18"/>
      <c r="D6" s="1" t="s">
        <v>9</v>
      </c>
      <c r="E6" s="1"/>
      <c r="F6" s="1"/>
    </row>
    <row r="7" spans="2:7">
      <c r="B7" s="3">
        <v>4</v>
      </c>
      <c r="C7" s="19"/>
      <c r="D7" s="1" t="s">
        <v>10</v>
      </c>
      <c r="E7" s="1"/>
      <c r="F7" s="1"/>
    </row>
    <row r="8" spans="2:7">
      <c r="B8" s="3">
        <v>5</v>
      </c>
      <c r="C8" s="17" t="s">
        <v>1</v>
      </c>
      <c r="D8" s="1" t="s">
        <v>11</v>
      </c>
      <c r="E8" s="1" t="s">
        <v>12</v>
      </c>
      <c r="F8" s="1" t="s">
        <v>13</v>
      </c>
    </row>
    <row r="9" spans="2:7">
      <c r="B9" s="3">
        <v>6</v>
      </c>
      <c r="C9" s="18"/>
      <c r="D9" s="1" t="s">
        <v>14</v>
      </c>
      <c r="E9" s="1"/>
      <c r="F9" s="1"/>
    </row>
    <row r="10" spans="2:7">
      <c r="B10" s="3">
        <v>7</v>
      </c>
      <c r="C10" s="18"/>
      <c r="D10" s="1" t="s">
        <v>15</v>
      </c>
      <c r="E10" s="1"/>
      <c r="F10" s="1"/>
    </row>
    <row r="11" spans="2:7">
      <c r="B11" s="3">
        <v>8</v>
      </c>
      <c r="C11" s="18"/>
      <c r="D11" s="1" t="s">
        <v>16</v>
      </c>
      <c r="E11" s="1"/>
      <c r="F11" s="1"/>
    </row>
    <row r="12" spans="2:7">
      <c r="B12" s="3">
        <v>9</v>
      </c>
      <c r="C12" s="19"/>
      <c r="D12" s="1" t="s">
        <v>17</v>
      </c>
      <c r="E12" s="1"/>
      <c r="F12" s="1"/>
    </row>
    <row r="13" spans="2:7">
      <c r="B13" s="3">
        <v>22</v>
      </c>
      <c r="C13" s="17" t="s">
        <v>2</v>
      </c>
      <c r="D13" s="1" t="s">
        <v>3</v>
      </c>
      <c r="E13" s="1" t="s">
        <v>18</v>
      </c>
      <c r="F13" s="1"/>
    </row>
    <row r="14" spans="2:7">
      <c r="B14" s="3">
        <v>23</v>
      </c>
      <c r="C14" s="19"/>
      <c r="D14" s="1" t="s">
        <v>4</v>
      </c>
      <c r="E14" s="1" t="s">
        <v>19</v>
      </c>
      <c r="F14" s="1"/>
    </row>
  </sheetData>
  <mergeCells count="3">
    <mergeCell ref="C4:C7"/>
    <mergeCell ref="C8:C12"/>
    <mergeCell ref="C13:C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I36"/>
  <sheetViews>
    <sheetView tabSelected="1" zoomScale="115" zoomScaleNormal="115" workbookViewId="0">
      <selection activeCell="H31" sqref="H31"/>
    </sheetView>
  </sheetViews>
  <sheetFormatPr defaultRowHeight="13.5"/>
  <cols>
    <col min="1" max="1" width="9" style="15"/>
    <col min="2" max="2" width="11.5" style="15" bestFit="1" customWidth="1"/>
    <col min="3" max="3" width="10.875" style="15" bestFit="1" customWidth="1"/>
    <col min="4" max="4" width="18.375" style="15" customWidth="1"/>
    <col min="5" max="5" width="24.875" style="15" bestFit="1" customWidth="1"/>
    <col min="6" max="6" width="14.75" style="15" bestFit="1" customWidth="1"/>
    <col min="7" max="7" width="15.125" style="15" hidden="1" customWidth="1"/>
    <col min="8" max="8" width="12" style="15" customWidth="1"/>
    <col min="9" max="9" width="63.125" style="15" customWidth="1"/>
    <col min="10" max="16384" width="9" style="15"/>
  </cols>
  <sheetData>
    <row r="3" spans="2:7">
      <c r="B3" s="12" t="s">
        <v>153</v>
      </c>
      <c r="C3" s="9" t="s">
        <v>154</v>
      </c>
      <c r="D3" s="9" t="s">
        <v>155</v>
      </c>
      <c r="E3" s="9" t="s">
        <v>156</v>
      </c>
      <c r="F3" s="9" t="s">
        <v>157</v>
      </c>
      <c r="G3" s="13" t="s">
        <v>158</v>
      </c>
    </row>
    <row r="4" spans="2:7">
      <c r="B4" s="6" t="s">
        <v>160</v>
      </c>
      <c r="C4" s="4" t="s">
        <v>152</v>
      </c>
      <c r="D4" s="4">
        <v>421</v>
      </c>
      <c r="E4" s="5" t="s">
        <v>193</v>
      </c>
      <c r="F4" s="4" t="s">
        <v>160</v>
      </c>
      <c r="G4" s="5" t="str">
        <f>C4&amp;D4&amp;":"&amp;E4&amp;";"&amp;B4&amp;";"&amp;F4</f>
        <v>ISYS421:Authentication failed;Y;Y</v>
      </c>
    </row>
    <row r="5" spans="2:7">
      <c r="B5" s="6" t="s">
        <v>160</v>
      </c>
      <c r="C5" s="4" t="s">
        <v>152</v>
      </c>
      <c r="D5" s="4">
        <v>422</v>
      </c>
      <c r="E5" s="5" t="s">
        <v>39</v>
      </c>
      <c r="F5" s="4" t="s">
        <v>160</v>
      </c>
      <c r="G5" s="5" t="str">
        <f t="shared" ref="G5:G35" si="0">C5&amp;D5&amp;":"&amp;E5&amp;";"&amp;B5&amp;";"&amp;F5</f>
        <v>ISYS422:Broken pipe;Y;Y</v>
      </c>
    </row>
    <row r="6" spans="2:7">
      <c r="B6" s="6" t="s">
        <v>179</v>
      </c>
      <c r="C6" s="4" t="s">
        <v>151</v>
      </c>
      <c r="D6" s="4">
        <v>423</v>
      </c>
      <c r="E6" s="5" t="s">
        <v>24</v>
      </c>
      <c r="F6" s="4" t="s">
        <v>160</v>
      </c>
      <c r="G6" s="5" t="str">
        <f t="shared" si="0"/>
        <v>CSYS423:critic;N;Y</v>
      </c>
    </row>
    <row r="7" spans="2:7">
      <c r="B7" s="6" t="s">
        <v>179</v>
      </c>
      <c r="C7" s="4" t="s">
        <v>151</v>
      </c>
      <c r="D7" s="6">
        <v>424</v>
      </c>
      <c r="E7" s="5" t="s">
        <v>192</v>
      </c>
      <c r="F7" s="4" t="s">
        <v>160</v>
      </c>
      <c r="G7" s="5" t="str">
        <f t="shared" si="0"/>
        <v>CSYS424:dead;N;Y</v>
      </c>
    </row>
    <row r="8" spans="2:7">
      <c r="B8" s="6" t="s">
        <v>179</v>
      </c>
      <c r="C8" s="4" t="s">
        <v>151</v>
      </c>
      <c r="D8" s="4">
        <v>425</v>
      </c>
      <c r="E8" s="5" t="s">
        <v>26</v>
      </c>
      <c r="F8" s="4" t="s">
        <v>160</v>
      </c>
      <c r="G8" s="5" t="str">
        <f t="shared" si="0"/>
        <v>CSYS425:disabled path;N;Y</v>
      </c>
    </row>
    <row r="9" spans="2:7">
      <c r="B9" s="16" t="s">
        <v>179</v>
      </c>
      <c r="C9" s="16" t="s">
        <v>151</v>
      </c>
      <c r="D9" s="16">
        <v>426</v>
      </c>
      <c r="E9" s="13" t="s">
        <v>194</v>
      </c>
      <c r="F9" s="16" t="s">
        <v>180</v>
      </c>
      <c r="G9" s="5" t="str">
        <f t="shared" si="0"/>
        <v>CSYS426:EMS;N;Y</v>
      </c>
    </row>
    <row r="10" spans="2:7">
      <c r="B10" s="16" t="s">
        <v>181</v>
      </c>
      <c r="C10" s="16" t="s">
        <v>151</v>
      </c>
      <c r="D10" s="16">
        <v>427</v>
      </c>
      <c r="E10" s="13" t="s">
        <v>27</v>
      </c>
      <c r="F10" s="16" t="s">
        <v>180</v>
      </c>
      <c r="G10" s="5" t="str">
        <f t="shared" si="0"/>
        <v>CSYS427:error;N;Y</v>
      </c>
    </row>
    <row r="11" spans="2:7">
      <c r="B11" s="16" t="s">
        <v>181</v>
      </c>
      <c r="C11" s="16" t="s">
        <v>151</v>
      </c>
      <c r="D11" s="16">
        <v>428</v>
      </c>
      <c r="E11" s="13" t="s">
        <v>28</v>
      </c>
      <c r="F11" s="16" t="s">
        <v>180</v>
      </c>
      <c r="G11" s="5" t="str">
        <f t="shared" si="0"/>
        <v>CSYS428:failed;N;Y</v>
      </c>
    </row>
    <row r="12" spans="2:7">
      <c r="B12" s="6" t="s">
        <v>180</v>
      </c>
      <c r="C12" s="4" t="s">
        <v>152</v>
      </c>
      <c r="D12" s="4">
        <v>429</v>
      </c>
      <c r="E12" s="5" t="s">
        <v>44</v>
      </c>
      <c r="F12" s="4" t="s">
        <v>180</v>
      </c>
      <c r="G12" s="5" t="str">
        <f t="shared" si="0"/>
        <v>ISYS429:failed login;Y;Y</v>
      </c>
    </row>
    <row r="13" spans="2:7">
      <c r="B13" s="6" t="s">
        <v>180</v>
      </c>
      <c r="C13" s="4" t="s">
        <v>152</v>
      </c>
      <c r="D13" s="4">
        <v>430</v>
      </c>
      <c r="E13" s="5" t="s">
        <v>42</v>
      </c>
      <c r="F13" s="4" t="s">
        <v>180</v>
      </c>
      <c r="G13" s="5" t="str">
        <f t="shared" si="0"/>
        <v>ISYS430:Failed password for;Y;Y</v>
      </c>
    </row>
    <row r="14" spans="2:7">
      <c r="B14" s="16" t="s">
        <v>181</v>
      </c>
      <c r="C14" s="16" t="s">
        <v>151</v>
      </c>
      <c r="D14" s="16">
        <v>431</v>
      </c>
      <c r="E14" s="13" t="s">
        <v>29</v>
      </c>
      <c r="F14" s="16" t="s">
        <v>180</v>
      </c>
      <c r="G14" s="5" t="str">
        <f t="shared" si="0"/>
        <v>CSYS431:failure;N;Y</v>
      </c>
    </row>
    <row r="15" spans="2:7">
      <c r="B15" s="6" t="s">
        <v>180</v>
      </c>
      <c r="C15" s="4" t="s">
        <v>152</v>
      </c>
      <c r="D15" s="6">
        <v>432</v>
      </c>
      <c r="E15" s="5" t="s">
        <v>40</v>
      </c>
      <c r="F15" s="4" t="s">
        <v>180</v>
      </c>
      <c r="G15" s="5" t="str">
        <f t="shared" si="0"/>
        <v>ISYS432:FTP LOGIN;Y;Y</v>
      </c>
    </row>
    <row r="16" spans="2:7">
      <c r="B16" s="6" t="s">
        <v>180</v>
      </c>
      <c r="C16" s="4" t="s">
        <v>152</v>
      </c>
      <c r="D16" s="4">
        <v>433</v>
      </c>
      <c r="E16" s="5" t="s">
        <v>41</v>
      </c>
      <c r="F16" s="4" t="s">
        <v>180</v>
      </c>
      <c r="G16" s="5" t="str">
        <f t="shared" si="0"/>
        <v>ISYS433:FTP session closed;Y;Y</v>
      </c>
    </row>
    <row r="17" spans="2:8">
      <c r="B17" s="6" t="s">
        <v>180</v>
      </c>
      <c r="C17" s="4" t="s">
        <v>152</v>
      </c>
      <c r="D17" s="4">
        <v>434</v>
      </c>
      <c r="E17" s="5" t="s">
        <v>45</v>
      </c>
      <c r="F17" s="4" t="s">
        <v>180</v>
      </c>
      <c r="G17" s="5" t="str">
        <f t="shared" si="0"/>
        <v>ISYS434:ftpd[;Y;Y</v>
      </c>
    </row>
    <row r="18" spans="2:8">
      <c r="B18" s="6" t="s">
        <v>181</v>
      </c>
      <c r="C18" s="4" t="s">
        <v>150</v>
      </c>
      <c r="D18" s="4">
        <v>435</v>
      </c>
      <c r="E18" s="5" t="s">
        <v>21</v>
      </c>
      <c r="F18" s="4" t="s">
        <v>180</v>
      </c>
      <c r="G18" s="5" t="str">
        <f t="shared" si="0"/>
        <v>WSYS435:Going down on signal 15;N;Y</v>
      </c>
    </row>
    <row r="19" spans="2:8">
      <c r="B19" s="6" t="s">
        <v>181</v>
      </c>
      <c r="C19" s="4" t="s">
        <v>151</v>
      </c>
      <c r="D19" s="6">
        <v>436</v>
      </c>
      <c r="E19" s="5" t="s">
        <v>31</v>
      </c>
      <c r="F19" s="4" t="s">
        <v>180</v>
      </c>
      <c r="G19" s="5" t="str">
        <f t="shared" si="0"/>
        <v>CSYS436:in the cluster to crash;N;Y</v>
      </c>
      <c r="H19" s="15" t="s">
        <v>198</v>
      </c>
    </row>
    <row r="20" spans="2:8">
      <c r="B20" s="16" t="s">
        <v>181</v>
      </c>
      <c r="C20" s="16" t="s">
        <v>151</v>
      </c>
      <c r="D20" s="16">
        <v>437</v>
      </c>
      <c r="E20" s="13" t="s">
        <v>32</v>
      </c>
      <c r="F20" s="16" t="s">
        <v>180</v>
      </c>
      <c r="G20" s="5" t="str">
        <f t="shared" si="0"/>
        <v>CSYS437:is down;N;Y</v>
      </c>
    </row>
    <row r="21" spans="2:8">
      <c r="B21" s="6" t="s">
        <v>180</v>
      </c>
      <c r="C21" s="4" t="s">
        <v>151</v>
      </c>
      <c r="D21" s="4">
        <v>438</v>
      </c>
      <c r="E21" s="5" t="s">
        <v>205</v>
      </c>
      <c r="F21" s="4" t="s">
        <v>180</v>
      </c>
      <c r="G21" s="5" t="str">
        <f t="shared" si="0"/>
        <v>CSYS438:MQSeries;Y;Y</v>
      </c>
      <c r="H21" s="15" t="s">
        <v>195</v>
      </c>
    </row>
    <row r="22" spans="2:8" ht="21.75" customHeight="1">
      <c r="B22" s="16" t="s">
        <v>181</v>
      </c>
      <c r="C22" s="16" t="s">
        <v>151</v>
      </c>
      <c r="D22" s="16">
        <v>439</v>
      </c>
      <c r="E22" s="13" t="s">
        <v>33</v>
      </c>
      <c r="F22" s="16" t="s">
        <v>180</v>
      </c>
      <c r="G22" s="5" t="str">
        <f t="shared" si="0"/>
        <v>CSYS439:msgcnt;N;Y</v>
      </c>
    </row>
    <row r="23" spans="2:8">
      <c r="B23" s="16" t="s">
        <v>181</v>
      </c>
      <c r="C23" s="16" t="s">
        <v>151</v>
      </c>
      <c r="D23" s="16">
        <v>440</v>
      </c>
      <c r="E23" s="13" t="s">
        <v>22</v>
      </c>
      <c r="F23" s="16" t="s">
        <v>180</v>
      </c>
      <c r="G23" s="5" t="str">
        <f t="shared" si="0"/>
        <v>CSYS440:Not enough space;N;Y</v>
      </c>
    </row>
    <row r="24" spans="2:8" ht="15" customHeight="1">
      <c r="B24" s="16" t="s">
        <v>181</v>
      </c>
      <c r="C24" s="16" t="s">
        <v>151</v>
      </c>
      <c r="D24" s="16">
        <v>441</v>
      </c>
      <c r="E24" s="13" t="s">
        <v>34</v>
      </c>
      <c r="F24" s="16" t="s">
        <v>180</v>
      </c>
      <c r="G24" s="5" t="str">
        <f t="shared" si="0"/>
        <v>CSYS441:offline;N;Y</v>
      </c>
    </row>
    <row r="25" spans="2:8">
      <c r="B25" s="16" t="s">
        <v>181</v>
      </c>
      <c r="C25" s="16" t="s">
        <v>151</v>
      </c>
      <c r="D25" s="16">
        <v>442</v>
      </c>
      <c r="E25" s="13" t="s">
        <v>35</v>
      </c>
      <c r="F25" s="16" t="s">
        <v>180</v>
      </c>
      <c r="G25" s="5" t="str">
        <f t="shared" si="0"/>
        <v>CSYS442:query failed;N;Y</v>
      </c>
      <c r="H25" s="15" t="s">
        <v>197</v>
      </c>
    </row>
    <row r="26" spans="2:8">
      <c r="B26" s="6" t="s">
        <v>181</v>
      </c>
      <c r="C26" s="4" t="s">
        <v>151</v>
      </c>
      <c r="D26" s="4">
        <v>443</v>
      </c>
      <c r="E26" s="5" t="s">
        <v>36</v>
      </c>
      <c r="F26" s="4" t="s">
        <v>180</v>
      </c>
      <c r="G26" s="5" t="str">
        <f t="shared" si="0"/>
        <v>CSYS443:swap reservation failure;N;Y</v>
      </c>
    </row>
    <row r="27" spans="2:8">
      <c r="B27" s="6" t="s">
        <v>180</v>
      </c>
      <c r="C27" s="4" t="s">
        <v>150</v>
      </c>
      <c r="D27" s="6">
        <v>444</v>
      </c>
      <c r="E27" s="5" t="s">
        <v>37</v>
      </c>
      <c r="F27" s="4" t="s">
        <v>180</v>
      </c>
      <c r="G27" s="5" t="str">
        <f t="shared" si="0"/>
        <v>WSYS444:syslog: su :;Y;Y</v>
      </c>
    </row>
    <row r="28" spans="2:8">
      <c r="B28" s="6" t="s">
        <v>181</v>
      </c>
      <c r="C28" s="4" t="s">
        <v>151</v>
      </c>
      <c r="D28" s="4">
        <v>445</v>
      </c>
      <c r="E28" s="5" t="s">
        <v>23</v>
      </c>
      <c r="F28" s="4" t="s">
        <v>180</v>
      </c>
      <c r="G28" s="5" t="str">
        <f t="shared" si="0"/>
        <v>CSYS445:VCS ERROR;N;Y</v>
      </c>
      <c r="H28" s="15" t="s">
        <v>196</v>
      </c>
    </row>
    <row r="29" spans="2:8">
      <c r="B29" s="6" t="s">
        <v>181</v>
      </c>
      <c r="C29" s="6" t="s">
        <v>151</v>
      </c>
      <c r="D29" s="4">
        <v>446</v>
      </c>
      <c r="E29" s="5" t="s">
        <v>145</v>
      </c>
      <c r="F29" s="4" t="s">
        <v>180</v>
      </c>
      <c r="G29" s="5" t="str">
        <f t="shared" si="0"/>
        <v>CSYS446:GAB WARNING;N;Y</v>
      </c>
      <c r="H29" s="15" t="s">
        <v>196</v>
      </c>
    </row>
    <row r="30" spans="2:8">
      <c r="B30" s="6" t="s">
        <v>181</v>
      </c>
      <c r="C30" s="6" t="s">
        <v>151</v>
      </c>
      <c r="D30" s="4">
        <v>447</v>
      </c>
      <c r="E30" s="5" t="s">
        <v>182</v>
      </c>
      <c r="F30" s="4" t="s">
        <v>180</v>
      </c>
      <c r="G30" s="5" t="str">
        <f t="shared" si="0"/>
        <v>CSYS447:not activate;N;Y</v>
      </c>
    </row>
    <row r="31" spans="2:8">
      <c r="B31" s="6" t="s">
        <v>181</v>
      </c>
      <c r="C31" s="6" t="s">
        <v>151</v>
      </c>
      <c r="D31" s="6">
        <v>448</v>
      </c>
      <c r="E31" s="5" t="s">
        <v>183</v>
      </c>
      <c r="F31" s="4" t="s">
        <v>180</v>
      </c>
      <c r="G31" s="5" t="str">
        <f t="shared" si="0"/>
        <v>CSYS448:have died;N;Y</v>
      </c>
    </row>
    <row r="32" spans="2:8">
      <c r="B32" s="6" t="s">
        <v>181</v>
      </c>
      <c r="C32" s="6" t="s">
        <v>151</v>
      </c>
      <c r="D32" s="4">
        <v>449</v>
      </c>
      <c r="E32" s="5" t="s">
        <v>184</v>
      </c>
      <c r="F32" s="4" t="s">
        <v>180</v>
      </c>
      <c r="G32" s="5" t="str">
        <f t="shared" si="0"/>
        <v>CSYS449:timer_loop;N;Y</v>
      </c>
    </row>
    <row r="33" spans="2:9">
      <c r="B33" s="6" t="s">
        <v>181</v>
      </c>
      <c r="C33" s="6" t="s">
        <v>151</v>
      </c>
      <c r="D33" s="4">
        <v>450</v>
      </c>
      <c r="E33" s="5" t="s">
        <v>185</v>
      </c>
      <c r="F33" s="4" t="s">
        <v>180</v>
      </c>
      <c r="G33" s="5" t="str">
        <f t="shared" si="0"/>
        <v>CSYS450:degrade;N;Y</v>
      </c>
    </row>
    <row r="34" spans="2:9">
      <c r="B34" s="6" t="s">
        <v>181</v>
      </c>
      <c r="C34" s="6" t="s">
        <v>151</v>
      </c>
      <c r="D34" s="4">
        <v>451</v>
      </c>
      <c r="E34" s="5" t="s">
        <v>199</v>
      </c>
      <c r="F34" s="4" t="s">
        <v>180</v>
      </c>
      <c r="G34" s="5" t="str">
        <f t="shared" si="0"/>
        <v>CSYS451:detache;N;Y</v>
      </c>
    </row>
    <row r="35" spans="2:9">
      <c r="B35" s="16" t="s">
        <v>181</v>
      </c>
      <c r="C35" s="16" t="s">
        <v>151</v>
      </c>
      <c r="D35" s="16">
        <v>452</v>
      </c>
      <c r="E35" s="13" t="s">
        <v>186</v>
      </c>
      <c r="F35" s="16" t="s">
        <v>180</v>
      </c>
      <c r="G35" s="5" t="str">
        <f t="shared" si="0"/>
        <v>CSYS452:No such;N;Y</v>
      </c>
    </row>
    <row r="36" spans="2:9" ht="40.5">
      <c r="B36" s="4" t="s">
        <v>204</v>
      </c>
      <c r="C36" s="4" t="s">
        <v>203</v>
      </c>
      <c r="D36" s="4">
        <v>426</v>
      </c>
      <c r="E36" s="5" t="s">
        <v>200</v>
      </c>
      <c r="F36" s="5"/>
      <c r="H36" s="15" t="s">
        <v>201</v>
      </c>
      <c r="I36" s="20" t="s">
        <v>202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H90"/>
  <sheetViews>
    <sheetView workbookViewId="0">
      <selection activeCell="E17" sqref="E17"/>
    </sheetView>
  </sheetViews>
  <sheetFormatPr defaultRowHeight="13.5"/>
  <cols>
    <col min="1" max="1" width="9" style="14"/>
    <col min="2" max="2" width="11.5" style="14" bestFit="1" customWidth="1"/>
    <col min="3" max="3" width="10.875" style="14" bestFit="1" customWidth="1"/>
    <col min="4" max="4" width="10.875" style="14" customWidth="1"/>
    <col min="5" max="5" width="46.125" style="14" bestFit="1" customWidth="1"/>
    <col min="6" max="6" width="17.25" style="14" bestFit="1" customWidth="1"/>
    <col min="7" max="8" width="0" style="14" hidden="1" customWidth="1"/>
    <col min="9" max="16384" width="9" style="14"/>
  </cols>
  <sheetData>
    <row r="3" spans="2:8">
      <c r="B3" s="12" t="s">
        <v>48</v>
      </c>
      <c r="C3" s="10" t="s">
        <v>173</v>
      </c>
      <c r="D3" s="10" t="s">
        <v>148</v>
      </c>
      <c r="E3" s="10" t="s">
        <v>49</v>
      </c>
      <c r="F3" s="10" t="s">
        <v>174</v>
      </c>
      <c r="G3" s="13" t="s">
        <v>149</v>
      </c>
    </row>
    <row r="4" spans="2:8">
      <c r="B4" s="4" t="s">
        <v>38</v>
      </c>
      <c r="C4" s="4" t="s">
        <v>150</v>
      </c>
      <c r="D4" s="4">
        <v>220</v>
      </c>
      <c r="E4" s="5" t="s">
        <v>50</v>
      </c>
      <c r="F4" s="4" t="s">
        <v>144</v>
      </c>
      <c r="G4" s="5" t="str">
        <f>C4&amp;D4&amp;":"&amp;E4&amp;";"&amp;B4&amp;";"&amp;F4</f>
        <v>WSYS220:/dev/???;Y;Y</v>
      </c>
      <c r="H4" s="5" t="e">
        <f>C4&amp;E4&amp;":"&amp;F4&amp;";"&amp;B4&amp;";"&amp;#REF!</f>
        <v>#REF!</v>
      </c>
    </row>
    <row r="5" spans="2:8">
      <c r="B5" s="4" t="s">
        <v>38</v>
      </c>
      <c r="C5" s="4" t="s">
        <v>150</v>
      </c>
      <c r="D5" s="4">
        <v>221</v>
      </c>
      <c r="E5" s="5" t="s">
        <v>51</v>
      </c>
      <c r="F5" s="4" t="s">
        <v>144</v>
      </c>
      <c r="G5" s="5" t="str">
        <f t="shared" ref="G5:G67" si="0">C5&amp;D5&amp;":"&amp;E5&amp;";"&amp;B5&amp;";"&amp;F5</f>
        <v>WSYS221:/pci@9,600000/fibre-channel@1/sd@0,0 (sd15):;Y;Y</v>
      </c>
    </row>
    <row r="6" spans="2:8">
      <c r="B6" s="4" t="s">
        <v>20</v>
      </c>
      <c r="C6" s="4" t="s">
        <v>151</v>
      </c>
      <c r="D6" s="4">
        <v>222</v>
      </c>
      <c r="E6" s="5" t="s">
        <v>52</v>
      </c>
      <c r="F6" s="4" t="s">
        <v>144</v>
      </c>
      <c r="G6" s="5" t="str">
        <f t="shared" si="0"/>
        <v>CSYS222:AFSR;N;Y</v>
      </c>
    </row>
    <row r="7" spans="2:8">
      <c r="B7" s="4" t="s">
        <v>20</v>
      </c>
      <c r="C7" s="4" t="s">
        <v>151</v>
      </c>
      <c r="D7" s="4">
        <v>223</v>
      </c>
      <c r="E7" s="5" t="s">
        <v>53</v>
      </c>
      <c r="F7" s="4" t="s">
        <v>175</v>
      </c>
      <c r="G7" s="5" t="str">
        <f t="shared" si="0"/>
        <v>CSYS223:AFT;N;Y</v>
      </c>
    </row>
    <row r="8" spans="2:8">
      <c r="B8" s="4" t="s">
        <v>20</v>
      </c>
      <c r="C8" s="4" t="s">
        <v>151</v>
      </c>
      <c r="D8" s="4">
        <v>224</v>
      </c>
      <c r="E8" s="5" t="s">
        <v>54</v>
      </c>
      <c r="F8" s="4" t="s">
        <v>175</v>
      </c>
      <c r="G8" s="5" t="str">
        <f t="shared" si="0"/>
        <v>CSYS224:Abnormal;N;Y</v>
      </c>
    </row>
    <row r="9" spans="2:8">
      <c r="B9" s="4" t="s">
        <v>20</v>
      </c>
      <c r="C9" s="4" t="s">
        <v>151</v>
      </c>
      <c r="D9" s="4">
        <v>225</v>
      </c>
      <c r="E9" s="5" t="s">
        <v>55</v>
      </c>
      <c r="F9" s="4" t="s">
        <v>175</v>
      </c>
      <c r="G9" s="5" t="str">
        <f t="shared" si="0"/>
        <v>CSYS225:CE Error;N;Y</v>
      </c>
    </row>
    <row r="10" spans="2:8">
      <c r="B10" s="4" t="s">
        <v>20</v>
      </c>
      <c r="C10" s="4" t="s">
        <v>152</v>
      </c>
      <c r="D10" s="4">
        <v>226</v>
      </c>
      <c r="E10" s="5" t="s">
        <v>56</v>
      </c>
      <c r="F10" s="4" t="s">
        <v>175</v>
      </c>
      <c r="G10" s="5" t="str">
        <f t="shared" si="0"/>
        <v>ISYS226:Command;N;Y</v>
      </c>
    </row>
    <row r="11" spans="2:8">
      <c r="B11" s="4" t="s">
        <v>20</v>
      </c>
      <c r="C11" s="4" t="s">
        <v>151</v>
      </c>
      <c r="D11" s="4">
        <v>227</v>
      </c>
      <c r="E11" s="5" t="s">
        <v>57</v>
      </c>
      <c r="F11" s="4" t="s">
        <v>175</v>
      </c>
      <c r="G11" s="5" t="str">
        <f t="shared" si="0"/>
        <v>CSYS227:Corrected;N;Y</v>
      </c>
    </row>
    <row r="12" spans="2:8">
      <c r="B12" s="4" t="s">
        <v>20</v>
      </c>
      <c r="C12" s="4" t="s">
        <v>150</v>
      </c>
      <c r="D12" s="4">
        <v>228</v>
      </c>
      <c r="E12" s="5" t="s">
        <v>58</v>
      </c>
      <c r="F12" s="4" t="s">
        <v>175</v>
      </c>
      <c r="G12" s="5" t="str">
        <f t="shared" si="0"/>
        <v>WSYS228:Disk_Check;N;Y</v>
      </c>
    </row>
    <row r="13" spans="2:8">
      <c r="B13" s="4" t="s">
        <v>20</v>
      </c>
      <c r="C13" s="4" t="s">
        <v>151</v>
      </c>
      <c r="D13" s="4">
        <v>229</v>
      </c>
      <c r="E13" s="5" t="s">
        <v>59</v>
      </c>
      <c r="F13" s="4" t="s">
        <v>175</v>
      </c>
      <c r="G13" s="5" t="str">
        <f t="shared" si="0"/>
        <v>CSYS229:Disk_Error;N;Y</v>
      </c>
    </row>
    <row r="14" spans="2:8">
      <c r="B14" s="4" t="s">
        <v>20</v>
      </c>
      <c r="C14" s="4" t="s">
        <v>151</v>
      </c>
      <c r="D14" s="4">
        <v>230</v>
      </c>
      <c r="E14" s="5" t="s">
        <v>60</v>
      </c>
      <c r="F14" s="4" t="s">
        <v>175</v>
      </c>
      <c r="G14" s="5" t="str">
        <f t="shared" si="0"/>
        <v>CSYS230:ECC Error;N;Y</v>
      </c>
    </row>
    <row r="15" spans="2:8">
      <c r="B15" s="4" t="s">
        <v>20</v>
      </c>
      <c r="C15" s="4" t="s">
        <v>151</v>
      </c>
      <c r="D15" s="4">
        <v>231</v>
      </c>
      <c r="E15" s="5" t="s">
        <v>61</v>
      </c>
      <c r="F15" s="4" t="s">
        <v>175</v>
      </c>
      <c r="G15" s="5" t="str">
        <f t="shared" si="0"/>
        <v>CSYS231:ECC Memory Error;N;Y</v>
      </c>
    </row>
    <row r="16" spans="2:8">
      <c r="B16" s="4" t="s">
        <v>20</v>
      </c>
      <c r="C16" s="4" t="s">
        <v>150</v>
      </c>
      <c r="D16" s="4">
        <v>232</v>
      </c>
      <c r="E16" s="5" t="s">
        <v>62</v>
      </c>
      <c r="F16" s="4" t="s">
        <v>175</v>
      </c>
      <c r="G16" s="5" t="str">
        <f t="shared" si="0"/>
        <v>WSYS232:Error for command;N;Y</v>
      </c>
    </row>
    <row r="17" spans="2:7">
      <c r="B17" s="4" t="s">
        <v>20</v>
      </c>
      <c r="C17" s="4" t="s">
        <v>151</v>
      </c>
      <c r="D17" s="4">
        <v>233</v>
      </c>
      <c r="E17" s="5" t="s">
        <v>63</v>
      </c>
      <c r="F17" s="4" t="s">
        <v>175</v>
      </c>
      <c r="G17" s="5" t="str">
        <f t="shared" si="0"/>
        <v>CSYS233:Error level;N;Y</v>
      </c>
    </row>
    <row r="18" spans="2:7">
      <c r="B18" s="4" t="s">
        <v>20</v>
      </c>
      <c r="C18" s="4" t="s">
        <v>151</v>
      </c>
      <c r="D18" s="4">
        <v>234</v>
      </c>
      <c r="E18" s="5" t="s">
        <v>64</v>
      </c>
      <c r="F18" s="4" t="s">
        <v>175</v>
      </c>
      <c r="G18" s="5" t="str">
        <f t="shared" si="0"/>
        <v>CSYS234:Error reading from connection;N;Y</v>
      </c>
    </row>
    <row r="19" spans="2:7">
      <c r="B19" s="4" t="s">
        <v>20</v>
      </c>
      <c r="C19" s="4" t="s">
        <v>151</v>
      </c>
      <c r="D19" s="4">
        <v>235</v>
      </c>
      <c r="E19" s="5" t="s">
        <v>65</v>
      </c>
      <c r="F19" s="4" t="s">
        <v>175</v>
      </c>
      <c r="G19" s="5" t="str">
        <f t="shared" si="0"/>
        <v>CSYS235:FATAL;N;Y</v>
      </c>
    </row>
    <row r="20" spans="2:7">
      <c r="B20" s="4" t="s">
        <v>20</v>
      </c>
      <c r="C20" s="4" t="s">
        <v>151</v>
      </c>
      <c r="D20" s="4">
        <v>236</v>
      </c>
      <c r="E20" s="5" t="s">
        <v>66</v>
      </c>
      <c r="F20" s="4" t="s">
        <v>175</v>
      </c>
      <c r="G20" s="5" t="str">
        <f t="shared" si="0"/>
        <v>CSYS236:Fatal;N;Y</v>
      </c>
    </row>
    <row r="21" spans="2:7">
      <c r="B21" s="4" t="s">
        <v>20</v>
      </c>
      <c r="C21" s="4" t="s">
        <v>151</v>
      </c>
      <c r="D21" s="4">
        <v>237</v>
      </c>
      <c r="E21" s="5" t="s">
        <v>67</v>
      </c>
      <c r="F21" s="4" t="s">
        <v>175</v>
      </c>
      <c r="G21" s="5" t="str">
        <f t="shared" si="0"/>
        <v>CSYS237:File system full;N;Y</v>
      </c>
    </row>
    <row r="22" spans="2:7">
      <c r="B22" s="4" t="s">
        <v>20</v>
      </c>
      <c r="C22" s="4" t="s">
        <v>151</v>
      </c>
      <c r="D22" s="4">
        <v>238</v>
      </c>
      <c r="E22" s="5" t="s">
        <v>68</v>
      </c>
      <c r="F22" s="4" t="s">
        <v>175</v>
      </c>
      <c r="G22" s="5" t="str">
        <f t="shared" si="0"/>
        <v>CSYS238:Get Su:;N;Y</v>
      </c>
    </row>
    <row r="23" spans="2:7">
      <c r="B23" s="4" t="s">
        <v>20</v>
      </c>
      <c r="C23" s="4" t="s">
        <v>150</v>
      </c>
      <c r="D23" s="4">
        <v>239</v>
      </c>
      <c r="E23" s="5" t="s">
        <v>21</v>
      </c>
      <c r="F23" s="4" t="s">
        <v>175</v>
      </c>
      <c r="G23" s="5" t="str">
        <f t="shared" si="0"/>
        <v>WSYS239:Going down on signal 15;N;Y</v>
      </c>
    </row>
    <row r="24" spans="2:7">
      <c r="B24" s="4" t="s">
        <v>20</v>
      </c>
      <c r="C24" s="4" t="s">
        <v>151</v>
      </c>
      <c r="D24" s="4">
        <v>240</v>
      </c>
      <c r="E24" s="5" t="s">
        <v>69</v>
      </c>
      <c r="F24" s="4" t="s">
        <v>175</v>
      </c>
      <c r="G24" s="5" t="str">
        <f t="shared" si="0"/>
        <v>CSYS240:IT.dev;N;Y</v>
      </c>
    </row>
    <row r="25" spans="2:7">
      <c r="B25" s="4" t="s">
        <v>20</v>
      </c>
      <c r="C25" s="4" t="s">
        <v>151</v>
      </c>
      <c r="D25" s="4">
        <v>241</v>
      </c>
      <c r="E25" s="5" t="s">
        <v>70</v>
      </c>
      <c r="F25" s="4" t="s">
        <v>175</v>
      </c>
      <c r="G25" s="5" t="str">
        <f t="shared" si="0"/>
        <v>CSYS241:Insufficient memory;N;Y</v>
      </c>
    </row>
    <row r="26" spans="2:7">
      <c r="B26" s="4" t="s">
        <v>20</v>
      </c>
      <c r="C26" s="4" t="s">
        <v>151</v>
      </c>
      <c r="D26" s="4">
        <v>242</v>
      </c>
      <c r="E26" s="5" t="s">
        <v>71</v>
      </c>
      <c r="F26" s="4" t="s">
        <v>175</v>
      </c>
      <c r="G26" s="5" t="str">
        <f t="shared" si="0"/>
        <v>CSYS242:Intermittent;N;Y</v>
      </c>
    </row>
    <row r="27" spans="2:7">
      <c r="B27" s="4" t="s">
        <v>20</v>
      </c>
      <c r="C27" s="4" t="s">
        <v>150</v>
      </c>
      <c r="D27" s="4">
        <v>243</v>
      </c>
      <c r="E27" s="5" t="s">
        <v>72</v>
      </c>
      <c r="F27" s="4" t="s">
        <v>175</v>
      </c>
      <c r="G27" s="5" t="str">
        <f t="shared" si="0"/>
        <v>WSYS243:NOTICE:alloc:;N;Y</v>
      </c>
    </row>
    <row r="28" spans="2:7">
      <c r="B28" s="4" t="s">
        <v>20</v>
      </c>
      <c r="C28" s="4" t="s">
        <v>150</v>
      </c>
      <c r="D28" s="4">
        <v>244</v>
      </c>
      <c r="E28" s="5" t="s">
        <v>73</v>
      </c>
      <c r="F28" s="4" t="s">
        <v>175</v>
      </c>
      <c r="G28" s="5" t="str">
        <f t="shared" si="0"/>
        <v>WSYS244:Periodic head cleaning required;N;Y</v>
      </c>
    </row>
    <row r="29" spans="2:7">
      <c r="B29" s="4" t="s">
        <v>20</v>
      </c>
      <c r="C29" s="4" t="s">
        <v>151</v>
      </c>
      <c r="D29" s="4">
        <v>245</v>
      </c>
      <c r="E29" s="5" t="s">
        <v>74</v>
      </c>
      <c r="F29" s="4" t="s">
        <v>175</v>
      </c>
      <c r="G29" s="5" t="str">
        <f t="shared" si="0"/>
        <v>CSYS245:Persistent;N;Y</v>
      </c>
    </row>
    <row r="30" spans="2:7">
      <c r="B30" s="4" t="s">
        <v>20</v>
      </c>
      <c r="C30" s="4" t="s">
        <v>150</v>
      </c>
      <c r="D30" s="4">
        <v>246</v>
      </c>
      <c r="E30" s="5" t="s">
        <v>75</v>
      </c>
      <c r="F30" s="4" t="s">
        <v>175</v>
      </c>
      <c r="G30" s="5" t="str">
        <f t="shared" si="0"/>
        <v>WSYS246:Please,replace the tape cartridge;N;Y</v>
      </c>
    </row>
    <row r="31" spans="2:7">
      <c r="B31" s="4" t="s">
        <v>20</v>
      </c>
      <c r="C31" s="4" t="s">
        <v>151</v>
      </c>
      <c r="D31" s="4">
        <v>247</v>
      </c>
      <c r="E31" s="5" t="s">
        <v>76</v>
      </c>
      <c r="F31" s="4" t="s">
        <v>175</v>
      </c>
      <c r="G31" s="5" t="str">
        <f t="shared" si="0"/>
        <v>CSYS247:REPEATED LOGIN FAILURES;N;Y</v>
      </c>
    </row>
    <row r="32" spans="2:7">
      <c r="B32" s="4" t="s">
        <v>38</v>
      </c>
      <c r="C32" s="4" t="s">
        <v>151</v>
      </c>
      <c r="D32" s="4">
        <v>248</v>
      </c>
      <c r="E32" s="5" t="s">
        <v>76</v>
      </c>
      <c r="F32" s="4" t="s">
        <v>175</v>
      </c>
      <c r="G32" s="5" t="str">
        <f t="shared" si="0"/>
        <v>CSYS248:REPEATED LOGIN FAILURES;Y;Y</v>
      </c>
    </row>
    <row r="33" spans="2:7">
      <c r="B33" s="4" t="s">
        <v>38</v>
      </c>
      <c r="C33" s="4" t="s">
        <v>150</v>
      </c>
      <c r="D33" s="4">
        <v>249</v>
      </c>
      <c r="E33" s="5" t="s">
        <v>76</v>
      </c>
      <c r="F33" s="4" t="s">
        <v>175</v>
      </c>
      <c r="G33" s="5" t="str">
        <f t="shared" si="0"/>
        <v>WSYS249:REPEATED LOGIN FAILURES;Y;Y</v>
      </c>
    </row>
    <row r="34" spans="2:7">
      <c r="B34" s="4" t="s">
        <v>20</v>
      </c>
      <c r="C34" s="4" t="s">
        <v>151</v>
      </c>
      <c r="D34" s="4">
        <v>250</v>
      </c>
      <c r="E34" s="5" t="s">
        <v>77</v>
      </c>
      <c r="F34" s="4" t="s">
        <v>175</v>
      </c>
      <c r="G34" s="5" t="str">
        <f t="shared" si="0"/>
        <v>CSYS250:REPLACING;N;Y</v>
      </c>
    </row>
    <row r="35" spans="2:7">
      <c r="B35" s="4" t="s">
        <v>20</v>
      </c>
      <c r="C35" s="4" t="s">
        <v>150</v>
      </c>
      <c r="D35" s="4">
        <v>251</v>
      </c>
      <c r="E35" s="5" t="s">
        <v>78</v>
      </c>
      <c r="F35" s="4" t="s">
        <v>175</v>
      </c>
      <c r="G35" s="5" t="str">
        <f t="shared" si="0"/>
        <v>WSYS251:Requested Block;N;Y</v>
      </c>
    </row>
    <row r="36" spans="2:7">
      <c r="B36" s="4" t="s">
        <v>20</v>
      </c>
      <c r="C36" s="4" t="s">
        <v>150</v>
      </c>
      <c r="D36" s="4">
        <v>252</v>
      </c>
      <c r="E36" s="5" t="s">
        <v>79</v>
      </c>
      <c r="F36" s="4" t="s">
        <v>175</v>
      </c>
      <c r="G36" s="5" t="str">
        <f t="shared" si="0"/>
        <v>WSYS252:Retryable;N;Y</v>
      </c>
    </row>
    <row r="37" spans="2:7">
      <c r="B37" s="4" t="s">
        <v>20</v>
      </c>
      <c r="C37" s="4" t="s">
        <v>151</v>
      </c>
      <c r="D37" s="4">
        <v>253</v>
      </c>
      <c r="E37" s="5" t="s">
        <v>80</v>
      </c>
      <c r="F37" s="4" t="s">
        <v>175</v>
      </c>
      <c r="G37" s="5" t="str">
        <f t="shared" si="0"/>
        <v>CSYS253:SCSI transport;N;Y</v>
      </c>
    </row>
    <row r="38" spans="2:7">
      <c r="B38" s="4" t="s">
        <v>20</v>
      </c>
      <c r="C38" s="4" t="s">
        <v>150</v>
      </c>
      <c r="D38" s="4">
        <v>254</v>
      </c>
      <c r="E38" s="5" t="s">
        <v>81</v>
      </c>
      <c r="F38" s="4" t="s">
        <v>175</v>
      </c>
      <c r="G38" s="5" t="str">
        <f t="shared" si="0"/>
        <v>WSYS254:SCSI transport failed: reason 'tran_err': giving up;N;Y</v>
      </c>
    </row>
    <row r="39" spans="2:7">
      <c r="B39" s="4" t="s">
        <v>20</v>
      </c>
      <c r="C39" s="4" t="s">
        <v>151</v>
      </c>
      <c r="D39" s="4">
        <v>255</v>
      </c>
      <c r="E39" s="5" t="s">
        <v>82</v>
      </c>
      <c r="F39" s="4" t="s">
        <v>175</v>
      </c>
      <c r="G39" s="5" t="str">
        <f t="shared" si="0"/>
        <v>CSYS255:SYN flood attact;N;Y</v>
      </c>
    </row>
    <row r="40" spans="2:7">
      <c r="B40" s="4" t="s">
        <v>20</v>
      </c>
      <c r="C40" s="4" t="s">
        <v>150</v>
      </c>
      <c r="D40" s="4">
        <v>256</v>
      </c>
      <c r="E40" s="5" t="s">
        <v>83</v>
      </c>
      <c r="F40" s="4" t="s">
        <v>175</v>
      </c>
      <c r="G40" s="5" t="str">
        <f t="shared" si="0"/>
        <v>WSYS256:Sense Key;N;Y</v>
      </c>
    </row>
    <row r="41" spans="2:7">
      <c r="B41" s="4" t="s">
        <v>20</v>
      </c>
      <c r="C41" s="4" t="s">
        <v>150</v>
      </c>
      <c r="D41" s="4">
        <v>257</v>
      </c>
      <c r="E41" s="5" t="s">
        <v>84</v>
      </c>
      <c r="F41" s="4" t="s">
        <v>175</v>
      </c>
      <c r="G41" s="5" t="str">
        <f t="shared" si="0"/>
        <v>WSYS257:Soft error rate;N;Y</v>
      </c>
    </row>
    <row r="42" spans="2:7">
      <c r="B42" s="4" t="s">
        <v>20</v>
      </c>
      <c r="C42" s="4" t="s">
        <v>151</v>
      </c>
      <c r="D42" s="4">
        <v>258</v>
      </c>
      <c r="E42" s="5" t="s">
        <v>85</v>
      </c>
      <c r="F42" s="4" t="s">
        <v>175</v>
      </c>
      <c r="G42" s="5" t="str">
        <f t="shared" si="0"/>
        <v>CSYS258:Sticky;N;Y</v>
      </c>
    </row>
    <row r="43" spans="2:7">
      <c r="B43" s="4" t="s">
        <v>20</v>
      </c>
      <c r="C43" s="4" t="s">
        <v>150</v>
      </c>
      <c r="D43" s="4">
        <v>259</v>
      </c>
      <c r="E43" s="5" t="s">
        <v>86</v>
      </c>
      <c r="F43" s="4" t="s">
        <v>175</v>
      </c>
      <c r="G43" s="5" t="str">
        <f t="shared" si="0"/>
        <v>WSYS259:WARNING;N;Y</v>
      </c>
    </row>
    <row r="44" spans="2:7">
      <c r="B44" s="4" t="s">
        <v>38</v>
      </c>
      <c r="C44" s="4" t="s">
        <v>152</v>
      </c>
      <c r="D44" s="4">
        <v>260</v>
      </c>
      <c r="E44" s="5" t="s">
        <v>43</v>
      </c>
      <c r="F44" s="4" t="s">
        <v>175</v>
      </c>
      <c r="G44" s="5" t="str">
        <f t="shared" si="0"/>
        <v>ISYS260:alter tablespace TEMP begin backup;Y;Y</v>
      </c>
    </row>
    <row r="45" spans="2:7">
      <c r="B45" s="4" t="s">
        <v>20</v>
      </c>
      <c r="C45" s="4" t="s">
        <v>151</v>
      </c>
      <c r="D45" s="4">
        <v>261</v>
      </c>
      <c r="E45" s="5" t="s">
        <v>24</v>
      </c>
      <c r="F45" s="4" t="s">
        <v>175</v>
      </c>
      <c r="G45" s="5" t="str">
        <f t="shared" si="0"/>
        <v>CSYS261:critic;N;Y</v>
      </c>
    </row>
    <row r="46" spans="2:7">
      <c r="B46" s="4" t="s">
        <v>20</v>
      </c>
      <c r="C46" s="4" t="s">
        <v>151</v>
      </c>
      <c r="D46" s="4">
        <v>262</v>
      </c>
      <c r="E46" s="5" t="s">
        <v>25</v>
      </c>
      <c r="F46" s="4" t="s">
        <v>175</v>
      </c>
      <c r="G46" s="5" t="str">
        <f t="shared" si="0"/>
        <v>CSYS262:dead;N;Y</v>
      </c>
    </row>
    <row r="47" spans="2:7">
      <c r="B47" s="4" t="s">
        <v>20</v>
      </c>
      <c r="C47" s="4" t="s">
        <v>151</v>
      </c>
      <c r="D47" s="4">
        <v>263</v>
      </c>
      <c r="E47" s="5" t="s">
        <v>87</v>
      </c>
      <c r="F47" s="4" t="s">
        <v>175</v>
      </c>
      <c r="G47" s="5" t="str">
        <f t="shared" si="0"/>
        <v>CSYS263:degrees celsius at location;N;Y</v>
      </c>
    </row>
    <row r="48" spans="2:7">
      <c r="B48" s="4" t="s">
        <v>20</v>
      </c>
      <c r="C48" s="4" t="s">
        <v>151</v>
      </c>
      <c r="D48" s="4">
        <v>264</v>
      </c>
      <c r="E48" s="5" t="s">
        <v>27</v>
      </c>
      <c r="F48" s="4" t="s">
        <v>175</v>
      </c>
      <c r="G48" s="5" t="str">
        <f t="shared" si="0"/>
        <v>CSYS264:error;N;Y</v>
      </c>
    </row>
    <row r="49" spans="2:7">
      <c r="B49" s="4" t="s">
        <v>20</v>
      </c>
      <c r="C49" s="4" t="s">
        <v>151</v>
      </c>
      <c r="D49" s="4">
        <v>265</v>
      </c>
      <c r="E49" s="5" t="s">
        <v>29</v>
      </c>
      <c r="F49" s="4" t="s">
        <v>175</v>
      </c>
      <c r="G49" s="5" t="str">
        <f t="shared" si="0"/>
        <v>CSYS265:failure;N;Y</v>
      </c>
    </row>
    <row r="50" spans="2:7">
      <c r="B50" s="4" t="s">
        <v>20</v>
      </c>
      <c r="C50" s="4" t="s">
        <v>151</v>
      </c>
      <c r="D50" s="4">
        <v>266</v>
      </c>
      <c r="E50" s="5" t="s">
        <v>88</v>
      </c>
      <c r="F50" s="4" t="s">
        <v>175</v>
      </c>
      <c r="G50" s="5" t="str">
        <f t="shared" si="0"/>
        <v>CSYS266:fatal;N;Y</v>
      </c>
    </row>
    <row r="51" spans="2:7">
      <c r="B51" s="4" t="s">
        <v>20</v>
      </c>
      <c r="C51" s="4" t="s">
        <v>151</v>
      </c>
      <c r="D51" s="4">
        <v>267</v>
      </c>
      <c r="E51" s="5" t="s">
        <v>89</v>
      </c>
      <c r="F51" s="4" t="s">
        <v>175</v>
      </c>
      <c r="G51" s="5" t="str">
        <f t="shared" si="0"/>
        <v>CSYS267:file system full;N;Y</v>
      </c>
    </row>
    <row r="52" spans="2:7">
      <c r="B52" s="4" t="s">
        <v>20</v>
      </c>
      <c r="C52" s="4" t="s">
        <v>150</v>
      </c>
      <c r="D52" s="4">
        <v>268</v>
      </c>
      <c r="E52" s="5" t="s">
        <v>30</v>
      </c>
      <c r="F52" s="4" t="s">
        <v>175</v>
      </c>
      <c r="G52" s="5" t="str">
        <f t="shared" si="0"/>
        <v>WSYS268:going down on signal 15;N;Y</v>
      </c>
    </row>
    <row r="53" spans="2:7">
      <c r="B53" s="4" t="s">
        <v>20</v>
      </c>
      <c r="C53" s="4" t="s">
        <v>151</v>
      </c>
      <c r="D53" s="4">
        <v>269</v>
      </c>
      <c r="E53" s="5" t="s">
        <v>90</v>
      </c>
      <c r="F53" s="4" t="s">
        <v>175</v>
      </c>
      <c r="G53" s="5" t="str">
        <f t="shared" si="0"/>
        <v>CSYS269:halted by;N;Y</v>
      </c>
    </row>
    <row r="54" spans="2:7">
      <c r="B54" s="4" t="s">
        <v>20</v>
      </c>
      <c r="C54" s="4" t="s">
        <v>150</v>
      </c>
      <c r="D54" s="4">
        <v>270</v>
      </c>
      <c r="E54" s="5" t="s">
        <v>90</v>
      </c>
      <c r="F54" s="4" t="s">
        <v>175</v>
      </c>
      <c r="G54" s="5" t="str">
        <f t="shared" si="0"/>
        <v>WSYS270:halted by;N;Y</v>
      </c>
    </row>
    <row r="55" spans="2:7">
      <c r="B55" s="4" t="s">
        <v>20</v>
      </c>
      <c r="C55" s="4" t="s">
        <v>150</v>
      </c>
      <c r="D55" s="4">
        <v>271</v>
      </c>
      <c r="E55" s="5" t="s">
        <v>91</v>
      </c>
      <c r="F55" s="4" t="s">
        <v>175</v>
      </c>
      <c r="G55" s="5" t="str">
        <f t="shared" si="0"/>
        <v>WSYS271:hotspared device;N;Y</v>
      </c>
    </row>
    <row r="56" spans="2:7">
      <c r="B56" s="4" t="s">
        <v>20</v>
      </c>
      <c r="C56" s="4" t="s">
        <v>151</v>
      </c>
      <c r="D56" s="4">
        <v>272</v>
      </c>
      <c r="E56" s="5" t="s">
        <v>31</v>
      </c>
      <c r="F56" s="4" t="s">
        <v>175</v>
      </c>
      <c r="G56" s="5" t="str">
        <f t="shared" si="0"/>
        <v>CSYS272:in the cluster to crash;N;Y</v>
      </c>
    </row>
    <row r="57" spans="2:7">
      <c r="B57" s="4" t="s">
        <v>20</v>
      </c>
      <c r="C57" s="4" t="s">
        <v>151</v>
      </c>
      <c r="D57" s="4">
        <v>273</v>
      </c>
      <c r="E57" s="5" t="s">
        <v>32</v>
      </c>
      <c r="F57" s="4" t="s">
        <v>175</v>
      </c>
      <c r="G57" s="5" t="str">
        <f t="shared" si="0"/>
        <v>CSYS273:is down;N;Y</v>
      </c>
    </row>
    <row r="58" spans="2:7">
      <c r="B58" s="4" t="s">
        <v>20</v>
      </c>
      <c r="C58" s="4" t="s">
        <v>151</v>
      </c>
      <c r="D58" s="4">
        <v>274</v>
      </c>
      <c r="E58" s="5" t="s">
        <v>92</v>
      </c>
      <c r="F58" s="4" t="s">
        <v>175</v>
      </c>
      <c r="G58" s="5" t="str">
        <f t="shared" si="0"/>
        <v>CSYS274:kernel:;N;Y</v>
      </c>
    </row>
    <row r="59" spans="2:7">
      <c r="B59" s="4" t="s">
        <v>20</v>
      </c>
      <c r="C59" s="4" t="s">
        <v>151</v>
      </c>
      <c r="D59" s="4">
        <v>275</v>
      </c>
      <c r="E59" s="5" t="s">
        <v>93</v>
      </c>
      <c r="F59" s="4" t="s">
        <v>175</v>
      </c>
      <c r="G59" s="5" t="str">
        <f t="shared" si="0"/>
        <v>CSYS275:licence lost;N;Y</v>
      </c>
    </row>
    <row r="60" spans="2:7">
      <c r="B60" s="4" t="s">
        <v>20</v>
      </c>
      <c r="C60" s="4" t="s">
        <v>151</v>
      </c>
      <c r="D60" s="4">
        <v>276</v>
      </c>
      <c r="E60" s="5" t="s">
        <v>94</v>
      </c>
      <c r="F60" s="4" t="s">
        <v>175</v>
      </c>
      <c r="G60" s="5" t="str">
        <f t="shared" si="0"/>
        <v>CSYS276:log file open error;N;Y</v>
      </c>
    </row>
    <row r="61" spans="2:7">
      <c r="B61" s="4" t="s">
        <v>20</v>
      </c>
      <c r="C61" s="4" t="s">
        <v>151</v>
      </c>
      <c r="D61" s="4">
        <v>277</v>
      </c>
      <c r="E61" s="5" t="s">
        <v>95</v>
      </c>
      <c r="F61" s="4" t="s">
        <v>175</v>
      </c>
      <c r="G61" s="5" t="str">
        <f t="shared" si="0"/>
        <v>CSYS277:memory error;N;Y</v>
      </c>
    </row>
    <row r="62" spans="2:7">
      <c r="B62" s="4" t="s">
        <v>20</v>
      </c>
      <c r="C62" s="4" t="s">
        <v>150</v>
      </c>
      <c r="D62" s="4">
        <v>278</v>
      </c>
      <c r="E62" s="5" t="s">
        <v>96</v>
      </c>
      <c r="F62" s="4" t="s">
        <v>175</v>
      </c>
      <c r="G62" s="5" t="str">
        <f t="shared" si="0"/>
        <v>WSYS278:needs maintenance;N;Y</v>
      </c>
    </row>
    <row r="63" spans="2:7">
      <c r="B63" s="4" t="s">
        <v>20</v>
      </c>
      <c r="C63" s="4" t="s">
        <v>151</v>
      </c>
      <c r="D63" s="4">
        <v>279</v>
      </c>
      <c r="E63" s="5" t="s">
        <v>97</v>
      </c>
      <c r="F63" s="4" t="s">
        <v>175</v>
      </c>
      <c r="G63" s="5" t="str">
        <f t="shared" si="0"/>
        <v>CSYS279:no swap space;N;Y</v>
      </c>
    </row>
    <row r="64" spans="2:7">
      <c r="B64" s="4" t="s">
        <v>38</v>
      </c>
      <c r="C64" s="4" t="s">
        <v>151</v>
      </c>
      <c r="D64" s="4">
        <v>280</v>
      </c>
      <c r="E64" s="5" t="s">
        <v>98</v>
      </c>
      <c r="F64" s="4" t="s">
        <v>175</v>
      </c>
      <c r="G64" s="5" t="str">
        <f t="shared" si="0"/>
        <v>CSYS280:notice;Y;Y</v>
      </c>
    </row>
    <row r="65" spans="2:7">
      <c r="B65" s="4" t="s">
        <v>191</v>
      </c>
      <c r="C65" s="4" t="s">
        <v>151</v>
      </c>
      <c r="D65" s="4">
        <v>282</v>
      </c>
      <c r="E65" s="5" t="s">
        <v>34</v>
      </c>
      <c r="F65" s="4" t="s">
        <v>175</v>
      </c>
      <c r="G65" s="5" t="str">
        <f t="shared" si="0"/>
        <v>CSYS282:offline;N;Y</v>
      </c>
    </row>
    <row r="66" spans="2:7">
      <c r="B66" s="4" t="s">
        <v>20</v>
      </c>
      <c r="C66" s="4" t="s">
        <v>151</v>
      </c>
      <c r="D66" s="4">
        <v>283</v>
      </c>
      <c r="E66" s="5" t="s">
        <v>99</v>
      </c>
      <c r="F66" s="4" t="s">
        <v>175</v>
      </c>
      <c r="G66" s="5" t="str">
        <f t="shared" si="0"/>
        <v>CSYS283:out of memory;N;Y</v>
      </c>
    </row>
    <row r="67" spans="2:7">
      <c r="B67" s="4" t="s">
        <v>20</v>
      </c>
      <c r="C67" s="4" t="s">
        <v>151</v>
      </c>
      <c r="D67" s="4">
        <v>284</v>
      </c>
      <c r="E67" s="5" t="s">
        <v>100</v>
      </c>
      <c r="F67" s="4" t="s">
        <v>175</v>
      </c>
      <c r="G67" s="5" t="str">
        <f t="shared" si="0"/>
        <v>CSYS284:out of per-user processes;N;Y</v>
      </c>
    </row>
    <row r="68" spans="2:7">
      <c r="B68" s="4" t="s">
        <v>38</v>
      </c>
      <c r="C68" s="4" t="s">
        <v>152</v>
      </c>
      <c r="D68" s="4">
        <v>285</v>
      </c>
      <c r="E68" s="5" t="s">
        <v>46</v>
      </c>
      <c r="F68" s="4" t="s">
        <v>175</v>
      </c>
      <c r="G68" s="5" t="str">
        <f t="shared" ref="G68:G90" si="1">C68&amp;D68&amp;":"&amp;E68&amp;";"&amp;B68&amp;";"&amp;F68</f>
        <v>ISYS285:pam_authenticate: Authentication failed;Y;Y</v>
      </c>
    </row>
    <row r="69" spans="2:7">
      <c r="B69" s="4" t="s">
        <v>20</v>
      </c>
      <c r="C69" s="4" t="s">
        <v>151</v>
      </c>
      <c r="D69" s="4">
        <v>286</v>
      </c>
      <c r="E69" s="5" t="s">
        <v>101</v>
      </c>
      <c r="F69" s="4" t="s">
        <v>175</v>
      </c>
      <c r="G69" s="5" t="str">
        <f t="shared" si="1"/>
        <v>CSYS286:panic;N;Y</v>
      </c>
    </row>
    <row r="70" spans="2:7">
      <c r="B70" s="4" t="s">
        <v>20</v>
      </c>
      <c r="C70" s="4" t="s">
        <v>151</v>
      </c>
      <c r="D70" s="4">
        <v>287</v>
      </c>
      <c r="E70" s="5" t="s">
        <v>35</v>
      </c>
      <c r="F70" s="4" t="s">
        <v>175</v>
      </c>
      <c r="G70" s="5" t="str">
        <f t="shared" si="1"/>
        <v>CSYS287:query failed;N;Y</v>
      </c>
    </row>
    <row r="71" spans="2:7">
      <c r="B71" s="4" t="s">
        <v>20</v>
      </c>
      <c r="C71" s="4" t="s">
        <v>150</v>
      </c>
      <c r="D71" s="4">
        <v>288</v>
      </c>
      <c r="E71" s="5" t="s">
        <v>102</v>
      </c>
      <c r="F71" s="4" t="s">
        <v>175</v>
      </c>
      <c r="G71" s="5" t="str">
        <f t="shared" si="1"/>
        <v>WSYS288:requeue of command fails;N;Y</v>
      </c>
    </row>
    <row r="72" spans="2:7">
      <c r="B72" s="4" t="s">
        <v>20</v>
      </c>
      <c r="C72" s="4" t="s">
        <v>151</v>
      </c>
      <c r="D72" s="4">
        <v>289</v>
      </c>
      <c r="E72" s="5" t="s">
        <v>103</v>
      </c>
      <c r="F72" s="4" t="s">
        <v>175</v>
      </c>
      <c r="G72" s="5" t="str">
        <f t="shared" si="1"/>
        <v>CSYS289:responding;N;Y</v>
      </c>
    </row>
    <row r="73" spans="2:7">
      <c r="B73" s="4" t="s">
        <v>38</v>
      </c>
      <c r="C73" s="4" t="s">
        <v>152</v>
      </c>
      <c r="D73" s="4">
        <v>290</v>
      </c>
      <c r="E73" s="5" t="s">
        <v>47</v>
      </c>
      <c r="F73" s="4" t="s">
        <v>175</v>
      </c>
      <c r="G73" s="5" t="str">
        <f t="shared" si="1"/>
        <v>ISYS290:rlogind;Y;Y</v>
      </c>
    </row>
    <row r="74" spans="2:7">
      <c r="B74" s="4" t="s">
        <v>38</v>
      </c>
      <c r="C74" s="4" t="s">
        <v>150</v>
      </c>
      <c r="D74" s="4">
        <v>291</v>
      </c>
      <c r="E74" s="5" t="s">
        <v>104</v>
      </c>
      <c r="F74" s="4" t="s">
        <v>175</v>
      </c>
      <c r="G74" s="5" t="str">
        <f t="shared" si="1"/>
        <v>WSYS291:root on /dev/???;Y;Y</v>
      </c>
    </row>
    <row r="75" spans="2:7">
      <c r="B75" s="4" t="s">
        <v>20</v>
      </c>
      <c r="C75" s="4" t="s">
        <v>150</v>
      </c>
      <c r="D75" s="4">
        <v>292</v>
      </c>
      <c r="E75" s="5" t="s">
        <v>105</v>
      </c>
      <c r="F75" s="4" t="s">
        <v>175</v>
      </c>
      <c r="G75" s="5" t="str">
        <f t="shared" si="1"/>
        <v>WSYS292:sshd:;N;Y</v>
      </c>
    </row>
    <row r="76" spans="2:7">
      <c r="B76" s="4" t="s">
        <v>20</v>
      </c>
      <c r="C76" s="4" t="s">
        <v>152</v>
      </c>
      <c r="D76" s="4">
        <v>293</v>
      </c>
      <c r="E76" s="5" t="s">
        <v>106</v>
      </c>
      <c r="F76" s="4" t="s">
        <v>162</v>
      </c>
      <c r="G76" s="5" t="str">
        <f t="shared" si="1"/>
        <v>ISYS293:su:;N;Y</v>
      </c>
    </row>
    <row r="77" spans="2:7">
      <c r="B77" s="4" t="s">
        <v>20</v>
      </c>
      <c r="C77" s="4" t="s">
        <v>150</v>
      </c>
      <c r="D77" s="4">
        <v>294</v>
      </c>
      <c r="E77" s="5" t="s">
        <v>106</v>
      </c>
      <c r="F77" s="4" t="s">
        <v>162</v>
      </c>
      <c r="G77" s="5" t="str">
        <f t="shared" si="1"/>
        <v>WSYS294:su:;N;Y</v>
      </c>
    </row>
    <row r="78" spans="2:7">
      <c r="B78" s="4" t="s">
        <v>38</v>
      </c>
      <c r="C78" s="4" t="s">
        <v>150</v>
      </c>
      <c r="D78" s="4">
        <v>295</v>
      </c>
      <c r="E78" s="5" t="s">
        <v>107</v>
      </c>
      <c r="F78" s="4" t="s">
        <v>162</v>
      </c>
      <c r="G78" s="5" t="str">
        <f t="shared" si="1"/>
        <v>WSYS295:succeeded for root;Y;Y</v>
      </c>
    </row>
    <row r="79" spans="2:7">
      <c r="B79" s="4" t="s">
        <v>38</v>
      </c>
      <c r="C79" s="4" t="s">
        <v>150</v>
      </c>
      <c r="D79" s="4">
        <v>296</v>
      </c>
      <c r="E79" s="5" t="s">
        <v>108</v>
      </c>
      <c r="F79" s="4" t="s">
        <v>162</v>
      </c>
      <c r="G79" s="5" t="str">
        <f t="shared" si="1"/>
        <v>WSYS296:succeeded for root on /dev/???;Y;Y</v>
      </c>
    </row>
    <row r="80" spans="2:7">
      <c r="B80" s="4" t="s">
        <v>20</v>
      </c>
      <c r="C80" s="4" t="s">
        <v>151</v>
      </c>
      <c r="D80" s="4">
        <v>297</v>
      </c>
      <c r="E80" s="5" t="s">
        <v>109</v>
      </c>
      <c r="F80" s="4" t="s">
        <v>162</v>
      </c>
      <c r="G80" s="5" t="str">
        <f t="shared" si="1"/>
        <v>CSYS297:temperature;N;Y</v>
      </c>
    </row>
    <row r="81" spans="2:7">
      <c r="B81" s="4" t="s">
        <v>20</v>
      </c>
      <c r="C81" s="4" t="s">
        <v>151</v>
      </c>
      <c r="D81" s="4">
        <v>298</v>
      </c>
      <c r="E81" s="5" t="s">
        <v>110</v>
      </c>
      <c r="F81" s="4" t="s">
        <v>162</v>
      </c>
      <c r="G81" s="5" t="str">
        <f t="shared" si="1"/>
        <v>CSYS298:trying to be our address;N;Y</v>
      </c>
    </row>
    <row r="82" spans="2:7">
      <c r="B82" s="4" t="s">
        <v>20</v>
      </c>
      <c r="C82" s="4" t="s">
        <v>150</v>
      </c>
      <c r="D82" s="4">
        <v>299</v>
      </c>
      <c r="E82" s="5" t="s">
        <v>111</v>
      </c>
      <c r="F82" s="4" t="s">
        <v>162</v>
      </c>
      <c r="G82" s="5" t="str">
        <f t="shared" si="1"/>
        <v>WSYS299:unavailable;N;Y</v>
      </c>
    </row>
    <row r="83" spans="2:7">
      <c r="B83" s="4" t="s">
        <v>20</v>
      </c>
      <c r="C83" s="4" t="s">
        <v>151</v>
      </c>
      <c r="D83" s="4">
        <v>300</v>
      </c>
      <c r="E83" s="5" t="s">
        <v>112</v>
      </c>
      <c r="F83" s="4" t="s">
        <v>162</v>
      </c>
      <c r="G83" s="5" t="str">
        <f t="shared" si="1"/>
        <v>CSYS300:vmunix: /usr: write failed, file system is full;N;Y</v>
      </c>
    </row>
    <row r="84" spans="2:7">
      <c r="B84" s="4" t="s">
        <v>20</v>
      </c>
      <c r="C84" s="4" t="s">
        <v>151</v>
      </c>
      <c r="D84" s="4">
        <v>301</v>
      </c>
      <c r="E84" s="5" t="s">
        <v>113</v>
      </c>
      <c r="F84" s="4" t="s">
        <v>162</v>
      </c>
      <c r="G84" s="5" t="str">
        <f t="shared" si="1"/>
        <v>CSYS301:vx_nospace;N;Y</v>
      </c>
    </row>
    <row r="85" spans="2:7">
      <c r="B85" s="4" t="s">
        <v>20</v>
      </c>
      <c r="C85" s="4" t="s">
        <v>151</v>
      </c>
      <c r="D85" s="4">
        <v>302</v>
      </c>
      <c r="E85" s="5" t="s">
        <v>114</v>
      </c>
      <c r="F85" s="4" t="s">
        <v>162</v>
      </c>
      <c r="G85" s="5" t="str">
        <f t="shared" si="1"/>
        <v>CSYS302:was corrected;N;Y</v>
      </c>
    </row>
    <row r="86" spans="2:7">
      <c r="B86" s="4" t="s">
        <v>20</v>
      </c>
      <c r="C86" s="4" t="s">
        <v>150</v>
      </c>
      <c r="D86" s="4">
        <v>303</v>
      </c>
      <c r="E86" s="5" t="s">
        <v>115</v>
      </c>
      <c r="F86" s="4" t="s">
        <v>162</v>
      </c>
      <c r="G86" s="5" t="str">
        <f t="shared" si="1"/>
        <v>WSYS303:write error on;N;Y</v>
      </c>
    </row>
    <row r="87" spans="2:7">
      <c r="B87" s="4" t="s">
        <v>20</v>
      </c>
      <c r="C87" s="4" t="s">
        <v>151</v>
      </c>
      <c r="D87" s="4">
        <v>304</v>
      </c>
      <c r="E87" s="5" t="s">
        <v>116</v>
      </c>
      <c r="F87" s="4" t="s">
        <v>162</v>
      </c>
      <c r="G87" s="5" t="str">
        <f t="shared" si="1"/>
        <v>CSYS304:write failed, file system is full;N;Y</v>
      </c>
    </row>
    <row r="88" spans="2:7">
      <c r="B88" s="6" t="s">
        <v>165</v>
      </c>
      <c r="C88" s="6" t="s">
        <v>151</v>
      </c>
      <c r="D88" s="4">
        <v>305</v>
      </c>
      <c r="E88" s="8" t="s">
        <v>176</v>
      </c>
      <c r="F88" s="4" t="s">
        <v>162</v>
      </c>
      <c r="G88" s="5" t="str">
        <f t="shared" si="1"/>
        <v>CSYS305:disappear;N;Y</v>
      </c>
    </row>
    <row r="89" spans="2:7">
      <c r="B89" s="6" t="s">
        <v>165</v>
      </c>
      <c r="C89" s="6" t="s">
        <v>151</v>
      </c>
      <c r="D89" s="4">
        <v>306</v>
      </c>
      <c r="E89" s="5" t="s">
        <v>177</v>
      </c>
      <c r="F89" s="4" t="s">
        <v>162</v>
      </c>
      <c r="G89" s="5" t="str">
        <f t="shared" si="1"/>
        <v>CSYS306:Link down;N;Y</v>
      </c>
    </row>
    <row r="90" spans="2:7">
      <c r="B90" s="6" t="s">
        <v>165</v>
      </c>
      <c r="C90" s="6" t="s">
        <v>151</v>
      </c>
      <c r="D90" s="4">
        <v>307</v>
      </c>
      <c r="E90" s="5" t="s">
        <v>178</v>
      </c>
      <c r="F90" s="4" t="s">
        <v>162</v>
      </c>
      <c r="G90" s="5" t="str">
        <f t="shared" si="1"/>
        <v>CSYS307:fsck;N;Y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G21"/>
  <sheetViews>
    <sheetView workbookViewId="0">
      <selection activeCell="D23" sqref="D23"/>
    </sheetView>
  </sheetViews>
  <sheetFormatPr defaultRowHeight="13.5"/>
  <cols>
    <col min="1" max="1" width="9" style="14"/>
    <col min="2" max="2" width="11.5" style="14" bestFit="1" customWidth="1"/>
    <col min="3" max="3" width="10.875" style="14" bestFit="1" customWidth="1"/>
    <col min="4" max="4" width="10.875" style="14" customWidth="1"/>
    <col min="5" max="5" width="68.375" style="14" bestFit="1" customWidth="1"/>
    <col min="6" max="6" width="18.125" style="14" customWidth="1"/>
    <col min="7" max="7" width="20.375" style="14" hidden="1" customWidth="1"/>
    <col min="8" max="16384" width="9" style="14"/>
  </cols>
  <sheetData>
    <row r="3" spans="2:7">
      <c r="B3" s="12" t="s">
        <v>153</v>
      </c>
      <c r="C3" s="10" t="s">
        <v>154</v>
      </c>
      <c r="D3" s="10" t="s">
        <v>155</v>
      </c>
      <c r="E3" s="10" t="s">
        <v>156</v>
      </c>
      <c r="F3" s="10" t="s">
        <v>157</v>
      </c>
      <c r="G3" s="13" t="s">
        <v>158</v>
      </c>
    </row>
    <row r="4" spans="2:7">
      <c r="B4" s="4" t="s">
        <v>38</v>
      </c>
      <c r="C4" s="4" t="s">
        <v>159</v>
      </c>
      <c r="D4" s="4">
        <v>321</v>
      </c>
      <c r="E4" s="5" t="s">
        <v>117</v>
      </c>
      <c r="F4" s="4" t="s">
        <v>160</v>
      </c>
      <c r="G4" s="5" t="str">
        <f>C4&amp;D4&amp;":"&amp;E4&amp;";"&amp;B4&amp;";"&amp;F4</f>
        <v>WSYS321:/dev/tty??;Y;Y</v>
      </c>
    </row>
    <row r="5" spans="2:7">
      <c r="B5" s="4" t="s">
        <v>38</v>
      </c>
      <c r="C5" s="4" t="s">
        <v>159</v>
      </c>
      <c r="D5" s="4">
        <v>322</v>
      </c>
      <c r="E5" s="5" t="s">
        <v>118</v>
      </c>
      <c r="F5" s="4" t="s">
        <v>160</v>
      </c>
      <c r="G5" s="5" t="str">
        <f t="shared" ref="G5:G21" si="0">C5&amp;D5&amp;":"&amp;E5&amp;";"&amp;B5&amp;";"&amp;F5</f>
        <v>WSYS322:Login timed out;Y;Y</v>
      </c>
    </row>
    <row r="6" spans="2:7">
      <c r="B6" s="4" t="s">
        <v>20</v>
      </c>
      <c r="C6" s="4" t="s">
        <v>159</v>
      </c>
      <c r="D6" s="4">
        <v>323</v>
      </c>
      <c r="E6" s="5" t="s">
        <v>119</v>
      </c>
      <c r="F6" s="4" t="s">
        <v>160</v>
      </c>
      <c r="G6" s="5" t="str">
        <f t="shared" si="0"/>
        <v>WSYS323:auth|security:err|error tsm: /dev/pts/0: Login timed out after 60 seconds;N;Y</v>
      </c>
    </row>
    <row r="7" spans="2:7">
      <c r="B7" s="4" t="s">
        <v>20</v>
      </c>
      <c r="C7" s="4" t="s">
        <v>161</v>
      </c>
      <c r="D7" s="4">
        <v>324</v>
      </c>
      <c r="E7" s="5" t="s">
        <v>24</v>
      </c>
      <c r="F7" s="4" t="s">
        <v>160</v>
      </c>
      <c r="G7" s="5" t="str">
        <f t="shared" si="0"/>
        <v>CSYS324:critic;N;Y</v>
      </c>
    </row>
    <row r="8" spans="2:7">
      <c r="B8" s="4" t="s">
        <v>20</v>
      </c>
      <c r="C8" s="4" t="s">
        <v>161</v>
      </c>
      <c r="D8" s="4">
        <v>325</v>
      </c>
      <c r="E8" s="5" t="s">
        <v>27</v>
      </c>
      <c r="F8" s="4" t="s">
        <v>160</v>
      </c>
      <c r="G8" s="5" t="str">
        <f t="shared" si="0"/>
        <v>CSYS325:error;N;Y</v>
      </c>
    </row>
    <row r="9" spans="2:7">
      <c r="B9" s="4" t="s">
        <v>20</v>
      </c>
      <c r="C9" s="4" t="s">
        <v>159</v>
      </c>
      <c r="D9" s="4">
        <v>326</v>
      </c>
      <c r="E9" s="5" t="s">
        <v>28</v>
      </c>
      <c r="F9" s="4" t="s">
        <v>160</v>
      </c>
      <c r="G9" s="5" t="str">
        <f t="shared" si="0"/>
        <v>WSYS326:failed;N;Y</v>
      </c>
    </row>
    <row r="10" spans="2:7">
      <c r="B10" s="4" t="s">
        <v>20</v>
      </c>
      <c r="C10" s="4" t="s">
        <v>159</v>
      </c>
      <c r="D10" s="4">
        <v>327</v>
      </c>
      <c r="E10" s="5" t="s">
        <v>106</v>
      </c>
      <c r="F10" s="4" t="s">
        <v>162</v>
      </c>
      <c r="G10" s="5" t="str">
        <f t="shared" si="0"/>
        <v>WSYS327:su:;N;Y</v>
      </c>
    </row>
    <row r="11" spans="2:7">
      <c r="B11" s="4" t="s">
        <v>20</v>
      </c>
      <c r="C11" s="4" t="s">
        <v>163</v>
      </c>
      <c r="D11" s="4">
        <v>328</v>
      </c>
      <c r="E11" s="5" t="s">
        <v>120</v>
      </c>
      <c r="F11" s="4" t="s">
        <v>162</v>
      </c>
      <c r="G11" s="5" t="str">
        <f t="shared" si="0"/>
        <v>CSYS328:unix: Error;N;Y</v>
      </c>
    </row>
    <row r="12" spans="2:7">
      <c r="B12" s="4" t="s">
        <v>20</v>
      </c>
      <c r="C12" s="4" t="s">
        <v>164</v>
      </c>
      <c r="D12" s="4">
        <v>329</v>
      </c>
      <c r="E12" s="5" t="s">
        <v>121</v>
      </c>
      <c r="F12" s="4" t="s">
        <v>162</v>
      </c>
      <c r="G12" s="5" t="str">
        <f t="shared" si="0"/>
        <v>WSYS329:주의:;N;Y</v>
      </c>
    </row>
    <row r="13" spans="2:7">
      <c r="B13" s="6" t="s">
        <v>165</v>
      </c>
      <c r="C13" s="6" t="s">
        <v>163</v>
      </c>
      <c r="D13" s="4">
        <v>330</v>
      </c>
      <c r="E13" s="7" t="s">
        <v>166</v>
      </c>
      <c r="F13" s="4" t="s">
        <v>162</v>
      </c>
      <c r="G13" s="5" t="str">
        <f t="shared" si="0"/>
        <v>CSYS330:undetermined;N;Y</v>
      </c>
    </row>
    <row r="14" spans="2:7">
      <c r="B14" s="6" t="s">
        <v>165</v>
      </c>
      <c r="C14" s="6" t="s">
        <v>163</v>
      </c>
      <c r="D14" s="4">
        <v>331</v>
      </c>
      <c r="E14" s="5" t="s">
        <v>146</v>
      </c>
      <c r="F14" s="4" t="s">
        <v>162</v>
      </c>
      <c r="G14" s="5" t="str">
        <f t="shared" si="0"/>
        <v>CSYS331:ADAPTER ERROR;N;Y</v>
      </c>
    </row>
    <row r="15" spans="2:7">
      <c r="B15" s="6" t="s">
        <v>165</v>
      </c>
      <c r="C15" s="6" t="s">
        <v>163</v>
      </c>
      <c r="D15" s="4">
        <v>332</v>
      </c>
      <c r="E15" s="5" t="s">
        <v>167</v>
      </c>
      <c r="F15" s="4" t="s">
        <v>162</v>
      </c>
      <c r="G15" s="5" t="str">
        <f t="shared" si="0"/>
        <v>CSYS332:I/O ERROR DETECTED;N;Y</v>
      </c>
    </row>
    <row r="16" spans="2:7">
      <c r="B16" s="6" t="s">
        <v>165</v>
      </c>
      <c r="C16" s="6" t="s">
        <v>163</v>
      </c>
      <c r="D16" s="4">
        <v>333</v>
      </c>
      <c r="E16" s="5" t="s">
        <v>147</v>
      </c>
      <c r="F16" s="4" t="s">
        <v>162</v>
      </c>
      <c r="G16" s="5" t="str">
        <f t="shared" si="0"/>
        <v>CSYS333:ETHERNET DOWN;N;Y</v>
      </c>
    </row>
    <row r="17" spans="2:7">
      <c r="B17" s="6" t="s">
        <v>165</v>
      </c>
      <c r="C17" s="6" t="s">
        <v>163</v>
      </c>
      <c r="D17" s="4">
        <v>334</v>
      </c>
      <c r="E17" s="5" t="s">
        <v>168</v>
      </c>
      <c r="F17" s="4" t="s">
        <v>162</v>
      </c>
      <c r="G17" s="5" t="str">
        <f t="shared" si="0"/>
        <v>CSYS334:UNABLE TO ALLOCATE SPACE;N;Y</v>
      </c>
    </row>
    <row r="18" spans="2:7">
      <c r="B18" s="6" t="s">
        <v>165</v>
      </c>
      <c r="C18" s="6" t="s">
        <v>163</v>
      </c>
      <c r="D18" s="4">
        <v>335</v>
      </c>
      <c r="E18" s="5" t="s">
        <v>169</v>
      </c>
      <c r="F18" s="4" t="s">
        <v>162</v>
      </c>
      <c r="G18" s="5" t="str">
        <f t="shared" si="0"/>
        <v>CSYS335:PANIC;N;Y</v>
      </c>
    </row>
    <row r="19" spans="2:7">
      <c r="B19" s="6" t="s">
        <v>165</v>
      </c>
      <c r="C19" s="6" t="s">
        <v>163</v>
      </c>
      <c r="D19" s="4">
        <v>336</v>
      </c>
      <c r="E19" s="5" t="s">
        <v>170</v>
      </c>
      <c r="F19" s="4" t="s">
        <v>162</v>
      </c>
      <c r="G19" s="5" t="str">
        <f t="shared" si="0"/>
        <v>CSYS336:Dead Man Switch;N;Y</v>
      </c>
    </row>
    <row r="20" spans="2:7">
      <c r="B20" s="6" t="s">
        <v>165</v>
      </c>
      <c r="C20" s="6" t="s">
        <v>163</v>
      </c>
      <c r="D20" s="4">
        <v>337</v>
      </c>
      <c r="E20" s="5" t="s">
        <v>171</v>
      </c>
      <c r="F20" s="4" t="s">
        <v>162</v>
      </c>
      <c r="G20" s="5" t="str">
        <f t="shared" si="0"/>
        <v>CSYS337:SYSVMM;N;Y</v>
      </c>
    </row>
    <row r="21" spans="2:7">
      <c r="B21" s="6" t="s">
        <v>165</v>
      </c>
      <c r="C21" s="6" t="s">
        <v>164</v>
      </c>
      <c r="D21" s="6">
        <v>338</v>
      </c>
      <c r="E21" s="7" t="s">
        <v>172</v>
      </c>
      <c r="F21" s="6" t="s">
        <v>162</v>
      </c>
      <c r="G21" s="7" t="str">
        <f t="shared" si="0"/>
        <v>WSYS338:user:err|error;N;Y</v>
      </c>
    </row>
  </sheetData>
  <phoneticPr fontId="1" type="noConversion"/>
  <pageMargins left="0.7" right="0.7" top="0.75" bottom="0.75" header="0.3" footer="0.3"/>
  <pageSetup orientation="portrait" horizontalDpi="200" verticalDpi="200" copies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2:B24"/>
  <sheetViews>
    <sheetView workbookViewId="0">
      <selection activeCell="G1" sqref="G1"/>
    </sheetView>
  </sheetViews>
  <sheetFormatPr defaultRowHeight="16.5"/>
  <sheetData>
    <row r="2" spans="2:2">
      <c r="B2" t="s">
        <v>122</v>
      </c>
    </row>
    <row r="3" spans="2:2">
      <c r="B3" t="s">
        <v>123</v>
      </c>
    </row>
    <row r="4" spans="2:2">
      <c r="B4" t="s">
        <v>124</v>
      </c>
    </row>
    <row r="5" spans="2:2">
      <c r="B5" t="s">
        <v>125</v>
      </c>
    </row>
    <row r="6" spans="2:2">
      <c r="B6" t="s">
        <v>126</v>
      </c>
    </row>
    <row r="7" spans="2:2">
      <c r="B7" t="s">
        <v>127</v>
      </c>
    </row>
    <row r="8" spans="2:2">
      <c r="B8" t="s">
        <v>128</v>
      </c>
    </row>
    <row r="9" spans="2:2">
      <c r="B9" t="s">
        <v>129</v>
      </c>
    </row>
    <row r="10" spans="2:2">
      <c r="B10" t="s">
        <v>130</v>
      </c>
    </row>
    <row r="11" spans="2:2">
      <c r="B11" t="s">
        <v>131</v>
      </c>
    </row>
    <row r="12" spans="2:2">
      <c r="B12" t="s">
        <v>132</v>
      </c>
    </row>
    <row r="13" spans="2:2">
      <c r="B13" t="s">
        <v>133</v>
      </c>
    </row>
    <row r="14" spans="2:2">
      <c r="B14" t="s">
        <v>134</v>
      </c>
    </row>
    <row r="15" spans="2:2">
      <c r="B15" t="s">
        <v>135</v>
      </c>
    </row>
    <row r="16" spans="2:2">
      <c r="B16" t="s">
        <v>136</v>
      </c>
    </row>
    <row r="17" spans="2:2">
      <c r="B17" t="s">
        <v>137</v>
      </c>
    </row>
    <row r="18" spans="2:2">
      <c r="B18" t="s">
        <v>138</v>
      </c>
    </row>
    <row r="19" spans="2:2">
      <c r="B19" t="s">
        <v>139</v>
      </c>
    </row>
    <row r="20" spans="2:2">
      <c r="B20" t="s">
        <v>140</v>
      </c>
    </row>
    <row r="21" spans="2:2">
      <c r="B21" t="s">
        <v>141</v>
      </c>
    </row>
    <row r="22" spans="2:2">
      <c r="B22" t="s">
        <v>142</v>
      </c>
    </row>
    <row r="24" spans="2:2">
      <c r="B24" t="s">
        <v>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대상리스트</vt:lpstr>
      <vt:lpstr>HP-S2O</vt:lpstr>
      <vt:lpstr>SOL-S2O</vt:lpstr>
      <vt:lpstr>IBM-S2O</vt:lpstr>
      <vt:lpstr>Sheet1</vt:lpstr>
    </vt:vector>
  </TitlesOfParts>
  <Company>LGCNS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이남철</dc:creator>
  <cp:lastModifiedBy>남미영</cp:lastModifiedBy>
  <dcterms:created xsi:type="dcterms:W3CDTF">2013-05-13T04:24:17Z</dcterms:created>
  <dcterms:modified xsi:type="dcterms:W3CDTF">2015-07-14T05:53:42Z</dcterms:modified>
</cp:coreProperties>
</file>